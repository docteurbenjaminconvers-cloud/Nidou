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énarios" sheetId="1" state="visible" r:id="rId3"/>
    <sheet name="Hypothèses" sheetId="2" state="visible" r:id="rId4"/>
    <sheet name="Lancement 3 mois" sheetId="3" state="visible" r:id="rId5"/>
    <sheet name="Prévisionn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<sst xmlns="http://schemas.openxmlformats.org/spreadsheetml/2006/main" count="174" uniqueCount="155">
  <si>
    <t xml:space="preserve">Nidou — résultat mensuel avant impôt selon les hypothèses (€)</t>
  </si>
  <si>
    <t xml:space="preserve">Valeurs figées, calculées à partir de l'onglet Hypothèses. Pour rejouer un scénario, modifiez les cellules jaunes de cet onglet : le Prévisionnel se recalcule. L'onglet Lancement 3 mois donne la trésorerie des premiers mois.</t>
  </si>
  <si>
    <t xml:space="preserve">Scénario</t>
  </si>
  <si>
    <t xml:space="preserve">1 000 abonnés</t>
  </si>
  <si>
    <t xml:space="preserve">5 000</t>
  </si>
  <si>
    <t xml:space="preserve">20 000</t>
  </si>
  <si>
    <t xml:space="preserve">100 000</t>
  </si>
  <si>
    <t xml:space="preserve">500 000</t>
  </si>
  <si>
    <t xml:space="preserve">A — 9,90 € / mois, 99 € / an, hypothèses de base (Bridge au tarif public 1 €)</t>
  </si>
  <si>
    <t xml:space="preserve">B — 9,90 € / 99 €, Bridge négocié à 0,60 € par compte</t>
  </si>
  <si>
    <t xml:space="preserve">C — 9,90 € / 99 €, churn à 5 % par mois (pessimiste)</t>
  </si>
  <si>
    <t xml:space="preserve">D — 9,90 € / 99 €, 15 comptes gratuits par payant (conversion faible)</t>
  </si>
  <si>
    <t xml:space="preserve">E — pour mémoire : 4 € / 40 €, hypothèses de base</t>
  </si>
  <si>
    <t xml:space="preserve">Lecture</t>
  </si>
  <si>
    <t xml:space="preserve">À 9,90 € TTC (99 € par an), il reste ≈ 7,30 € nets par abonné après TVA et Stripe, pour ≈ 1,80 € de coûts variables (dont Bridge 0,78 €). Le modèle est positif à tous les paliers, y compris au tarif public de Bridge.</t>
  </si>
  <si>
    <t xml:space="preserve">Le seuil de rentabilité de chaque palier (couvrir l'équipe et le support prévus) est atteint avec 20 à 35 % des abonnés du palier.</t>
  </si>
  <si>
    <t xml:space="preserve">Un abonné vaut ≈ 240 € nets sur sa durée de vie à 3 % de churn : un coût d'acquisition jusqu'à 60 à 80 € reste rentable.</t>
  </si>
  <si>
    <t xml:space="preserve">Le gratuit coûte ≈ 2 centimes par compte et par mois (IA en modèle rapide au quota, stockage, push). 15 gratuits par payant restent supportables (scénario D).</t>
  </si>
  <si>
    <t xml:space="preserve">Le risque principal est le churn : à 5 % par mois (scénario C), la valeur d'un abonné baisse d'un tiers. La rétention (économies réellement constatées) est le vrai moteur.</t>
  </si>
  <si>
    <t xml:space="preserve">Nidou — hypothèses du prévisionnel</t>
  </si>
  <si>
    <t xml:space="preserve">Cellules en bleu sur fond jaune : à modifier librement. Tout le reste se recalcule.</t>
  </si>
  <si>
    <t xml:space="preserve">REVENUS</t>
  </si>
  <si>
    <t xml:space="preserve">Prix mensuel TTC (€)</t>
  </si>
  <si>
    <t xml:space="preserve">Plan Famille, décision du 28/10/2026</t>
  </si>
  <si>
    <t xml:space="preserve">Prix annuel TTC (€)</t>
  </si>
  <si>
    <t xml:space="preserve">Part des abonnés en formule annuelle</t>
  </si>
  <si>
    <t xml:space="preserve">Hypothèse : moitié mensuel, moitié annuel</t>
  </si>
  <si>
    <t xml:space="preserve">TVA</t>
  </si>
  <si>
    <t xml:space="preserve">Service numérique en France : 20 %</t>
  </si>
  <si>
    <t xml:space="preserve">Commission moyenne de paiement (Stripe), % du TTC</t>
  </si>
  <si>
    <t xml:space="preserve">Cartes européennes ≈ 1,5 % + 0,25 € ; les stores (Apple/Google) prendraient 15 à 30 % : à éviter, paiement web</t>
  </si>
  <si>
    <t xml:space="preserve">Frais fixes par transaction (€)</t>
  </si>
  <si>
    <t xml:space="preserve">Stripe, par paiement ; un abonné annuel paie 1 fois par an, un mensuel 12 fois</t>
  </si>
  <si>
    <t xml:space="preserve">Utilisateurs gratuits par abonné payant</t>
  </si>
  <si>
    <t xml:space="preserve">Hypothèse de conversion ≈ 11 % (1 payant pour 9 comptes). À vérifier après lancement</t>
  </si>
  <si>
    <t xml:space="preserve">Churn mensuel des abonnés</t>
  </si>
  <si>
    <t xml:space="preserve">3 % par mois : ordre de grandeur des applis grand public bien notées</t>
  </si>
  <si>
    <t xml:space="preserve">COÛTS VARIABLES (par foyer et par mois)</t>
  </si>
  <si>
    <t xml:space="preserve">IA — extraction de documents, foyer payant (€)</t>
  </si>
  <si>
    <t xml:space="preserve">≈ 5 documents/mois : modèle rapide (Haiku ≈ 0,5 c) avec repli sur le modèle précis (Sonnet ≈ 2 c) pour 15 % des documents, + catégorisation bancaire + courriers</t>
  </si>
  <si>
    <t xml:space="preserve">IA — foyer gratuit (€)</t>
  </si>
  <si>
    <t xml:space="preserve">Gratuit nu : lecture locale sans IA, pas d'import de relevés ni de banque. 0 € d'IA (NIDOU_IA_LECTURES_GRATUIT=0 ; un quota rouvrable plus tard reste plafonné par NIDOU_IA_PLAFOND_GRATUIT_EUR)</t>
  </si>
  <si>
    <t xml:space="preserve">Agrégation bancaire Bridge, par compte connecté (€)</t>
  </si>
  <si>
    <t xml:space="preserve">Tarif public indicatif 0,5 à 2 € par compte et par mois ; à négocier au volume</t>
  </si>
  <si>
    <t xml:space="preserve">Part des abonnés qui connectent leur banque</t>
  </si>
  <si>
    <t xml:space="preserve">Hypothèse</t>
  </si>
  <si>
    <t xml:space="preserve">Nombre de comptes connectés par foyer connecté</t>
  </si>
  <si>
    <t xml:space="preserve">Compte joint + un compte perso</t>
  </si>
  <si>
    <t xml:space="preserve">Stockage et bande passante, tous foyers (€)</t>
  </si>
  <si>
    <t xml:space="preserve">OVH Object Storage ≈ 0,01 €/Go ; 50 documents × 2 Mo = 0,1 Go par foyer</t>
  </si>
  <si>
    <t xml:space="preserve">Emails et notifications push (€)</t>
  </si>
  <si>
    <t xml:space="preserve">Payants : push + email (Brevo). Gratuits : push seulement, donc ≈ 0 ; la moyenne tous foyers est surestimée ici par prudence</t>
  </si>
  <si>
    <t xml:space="preserve">Coût d'acquisition d'un abonné payant (€)</t>
  </si>
  <si>
    <t xml:space="preserve">Mix parrainage + publicité (15 €) + le coût de l'essai inversé des inscrits non convertis (≈ 5 € par payant gagné, voir onglet Lancement) ; dépensé pour remplacer le churn</t>
  </si>
  <si>
    <t xml:space="preserve">COÛTS FIXES PAR PALIER (€ / mois)</t>
  </si>
  <si>
    <t xml:space="preserve">Abonnés payants (palier)</t>
  </si>
  <si>
    <t xml:space="preserve">Hébergement OVH (serveurs, base, sauvegardes)</t>
  </si>
  <si>
    <t xml:space="preserve">VPS puis instances Public Cloud + base managée ; France</t>
  </si>
  <si>
    <t xml:space="preserve">Équipe technique (salaires chargés)</t>
  </si>
  <si>
    <t xml:space="preserve">0 : fondateur + Claude ; puis 1, 3, 10, 30 personnes à 6 000 € chargés</t>
  </si>
  <si>
    <t xml:space="preserve">Support client</t>
  </si>
  <si>
    <t xml:space="preserve">0,5 puis 2, 8, 30 personnes à 3 500 € chargés ; 1 agent pour ~2 500 à 5 000 payants</t>
  </si>
  <si>
    <t xml:space="preserve">Juridique, comptable, assurance, banque</t>
  </si>
  <si>
    <t xml:space="preserve">Expert-comptable, RGPD, CGV, RC pro</t>
  </si>
  <si>
    <t xml:space="preserve">Outils et licences (Stripe hors commissions, Brevo, monitoring, domaine)</t>
  </si>
  <si>
    <t xml:space="preserve">Marketing de marque (hors acquisition payante)</t>
  </si>
  <si>
    <t xml:space="preserve">Contenu, RP, partenariats</t>
  </si>
  <si>
    <t xml:space="preserve">Sources : prix Stripe et Bridge d'après leurs grilles publiques (ordres de grandeur, à confirmer par devis) ; coûts IA estimés d'après la consommation du prototype ; salaires chargés France. Tous les autres chiffres sont des hypothèses de travail.</t>
  </si>
  <si>
    <t xml:space="preserve">Nidou — lancement : ce que coûtent les 3 premiers mois</t>
  </si>
  <si>
    <t xml:space="preserve">Cellules bleues sur fond jaune : modifiables. Hypothèses de coût unitaire reprises de l'onglet Hypothèses (vert).</t>
  </si>
  <si>
    <t xml:space="preserve">HYPOTHÈSES DE LANCEMENT</t>
  </si>
  <si>
    <t xml:space="preserve">Inscriptions nouvelles par mois</t>
  </si>
  <si>
    <t xml:space="preserve">Liste d'attente, bouche-à-oreille, premiers partages ; sans publicité payante</t>
  </si>
  <si>
    <t xml:space="preserve">Part des inscrits qui convertissent en payant à la fin de l'essai</t>
  </si>
  <si>
    <t xml:space="preserve">Essai inversé 15 jours sans carte, puis gratuit nu (sans IA ni banque) : 5 à 12 % selon les produits ; 8 % en hypothèse centrale</t>
  </si>
  <si>
    <t xml:space="preserve">Churn mensuel des payants</t>
  </si>
  <si>
    <t xml:space="preserve">Part des inscrits en essai qui connectent leur banque</t>
  </si>
  <si>
    <t xml:space="preserve">Pendant l'essai, Bridge est ouvert : c'est le principal coût de l'essai</t>
  </si>
  <si>
    <t xml:space="preserve">Documents lus par l'IA pendant l'essai, par inscrit</t>
  </si>
  <si>
    <t xml:space="preserve">Modèle rapide (0,5 c) ; 15 % repassent en modèle précis (2 c)</t>
  </si>
  <si>
    <t xml:space="preserve">Documents lus par l'IA par compte gratuit et par mois (après essai)</t>
  </si>
  <si>
    <t xml:space="preserve">Gratuit nu : lecture locale sans IA, pas d'import de relevés ni de banque (NIDOU_IA_LECTURES_GRATUIT=0)</t>
  </si>
  <si>
    <t xml:space="preserve">Hébergement OVH</t>
  </si>
  <si>
    <t xml:space="preserve">VPS puis une instance de plus au mois 3</t>
  </si>
  <si>
    <t xml:space="preserve">Juridique, comptable, assurance (dont dépôt INPI 190 € au mois 1)</t>
  </si>
  <si>
    <t xml:space="preserve">Expert-comptable ~250 €/mois, RC pro, CGV/RGPD relus par un avocat (~1 500 € à prévoir une fois, non inclus)</t>
  </si>
  <si>
    <t xml:space="preserve">Outils (domaine, Brevo, monitoring, Stripe hors commissions)</t>
  </si>
  <si>
    <t xml:space="preserve">Marketing (contenu, visuels, petits partenariats)</t>
  </si>
  <si>
    <t xml:space="preserve">Pas de publicité payante avant une conversion mesurée</t>
  </si>
  <si>
    <t xml:space="preserve">Équipe (hors fondateur)</t>
  </si>
  <si>
    <t xml:space="preserve">Le fondateur et Claude ; une première embauche n'est pas nécessaire avant ~5 000 payants</t>
  </si>
  <si>
    <t xml:space="preserve">COÛTS UNITAIRES (repris de l'onglet Hypothèses)</t>
  </si>
  <si>
    <t xml:space="preserve">Coût d'une lecture IA pendant l'essai (€)</t>
  </si>
  <si>
    <t xml:space="preserve">85 % modèle rapide à 0,5 c, 15 % modèle précis à 2 c</t>
  </si>
  <si>
    <t xml:space="preserve">Bridge par compte connecté et par mois (€)</t>
  </si>
  <si>
    <t xml:space="preserve">Comptes connectés par foyer</t>
  </si>
  <si>
    <t xml:space="preserve">Stockage et push par compte et par mois (€)</t>
  </si>
  <si>
    <t xml:space="preserve">Push gratuit ; pas d'email sur le gratuit</t>
  </si>
  <si>
    <t xml:space="preserve">Revenu net par payant et par mois (€)</t>
  </si>
  <si>
    <t xml:space="preserve">Après TVA et commissions Stripe</t>
  </si>
  <si>
    <t xml:space="preserve">Coût variable d'un payant par mois (€)</t>
  </si>
  <si>
    <t xml:space="preserve">IA, Bridge, stockage, emails</t>
  </si>
  <si>
    <t xml:space="preserve">MOIS</t>
  </si>
  <si>
    <t xml:space="preserve">Mois 1</t>
  </si>
  <si>
    <t xml:space="preserve">Mois 2</t>
  </si>
  <si>
    <t xml:space="preserve">Mois 3</t>
  </si>
  <si>
    <t xml:space="preserve">Total 3 mois</t>
  </si>
  <si>
    <t xml:space="preserve">Inscriptions du mois</t>
  </si>
  <si>
    <t xml:space="preserve">Comptes en essai (15 jours, plan Famille complet)</t>
  </si>
  <si>
    <t xml:space="preserve">Nouveaux payants (conversion en fin d'essai)</t>
  </si>
  <si>
    <t xml:space="preserve">Payants en fin de mois</t>
  </si>
  <si>
    <t xml:space="preserve">Comptes gratuits actifs en fin de mois (après essai, non convertis)</t>
  </si>
  <si>
    <t xml:space="preserve">Revenu net encaissé (payants moyens du mois × revenu net)</t>
  </si>
  <si>
    <t xml:space="preserve">COÛTS VARIABLES</t>
  </si>
  <si>
    <t xml:space="preserve">IA pendant l'essai</t>
  </si>
  <si>
    <t xml:space="preserve">Bridge pendant l'essai (½ mois, part connectée)</t>
  </si>
  <si>
    <t xml:space="preserve">Comptes gratuits (stockage + push ; IA à zéro)</t>
  </si>
  <si>
    <t xml:space="preserve">Payants (IA, Bridge, stockage, emails)</t>
  </si>
  <si>
    <t xml:space="preserve">Total coûts variables</t>
  </si>
  <si>
    <t xml:space="preserve">COÛTS FIXES</t>
  </si>
  <si>
    <t xml:space="preserve">Total coûts fixes</t>
  </si>
  <si>
    <t xml:space="preserve">RÉSULTAT DU MOIS</t>
  </si>
  <si>
    <t xml:space="preserve">Trésorerie cumulée (besoin de financement si négatif)</t>
  </si>
  <si>
    <t xml:space="preserve">REPÈRES</t>
  </si>
  <si>
    <t xml:space="preserve">Coût d'un inscrit en essai (IA + Bridge), €</t>
  </si>
  <si>
    <t xml:space="preserve">Coût d'un compte gratuit par mois, €</t>
  </si>
  <si>
    <t xml:space="preserve">Coût total des inscrits ÷ nouveaux payants (coût d'acquisition réel), €</t>
  </si>
  <si>
    <t xml:space="preserve">Chiffre d'affaires TTC facturé dans le mois (indicatif)</t>
  </si>
  <si>
    <t xml:space="preserve">Lecture : l'essai inversé coûte ≈ 0,40 € par inscrit (surtout Bridge, ouvert 15 jours). À 8 % de conversion, cela revient à ≈ 5 € par payant gagné, pour un abonné qui rapporte ≈ 7 € nets dès son premier mois. Le gratuit nu ne coûte que le stockage et le push : ≈ 1 centime par compte et par mois, zéro IA. Les coûts fixes du lancement (comptable, outils, hébergement) pèsent plus que les utilisateurs.</t>
  </si>
  <si>
    <t xml:space="preserve">Nidou — compte de résultat mensuel par palier d'abonnés payants</t>
  </si>
  <si>
    <t xml:space="preserve">Régime de croisière à chaque palier (hors phase de lancement). Montants hors taxes, par mois.</t>
  </si>
  <si>
    <t xml:space="preserve">Abonnés payants</t>
  </si>
  <si>
    <t xml:space="preserve">Comptes gratuits</t>
  </si>
  <si>
    <t xml:space="preserve">Foyers au total</t>
  </si>
  <si>
    <t xml:space="preserve">Revenu TTC moyen par abonné et par mois</t>
  </si>
  <si>
    <t xml:space="preserve">Chiffre d'affaires TTC</t>
  </si>
  <si>
    <t xml:space="preserve">TVA collectée</t>
  </si>
  <si>
    <t xml:space="preserve">Chiffre d'affaires HT</t>
  </si>
  <si>
    <t xml:space="preserve">Commissions de paiement</t>
  </si>
  <si>
    <t xml:space="preserve">Revenu net encaissé</t>
  </si>
  <si>
    <t xml:space="preserve">IA (extraction, catégorisation, courriers)</t>
  </si>
  <si>
    <t xml:space="preserve">Agrégation bancaire (Bridge)</t>
  </si>
  <si>
    <t xml:space="preserve">Stockage, emails, notifications</t>
  </si>
  <si>
    <t xml:space="preserve">Acquisition pour remplacer le churn</t>
  </si>
  <si>
    <t xml:space="preserve">Marge sur coûts variables</t>
  </si>
  <si>
    <t xml:space="preserve">Marge sur coûts variables, % du CA HT</t>
  </si>
  <si>
    <t xml:space="preserve">RÉSULTAT MENSUEL (avant impôt)</t>
  </si>
  <si>
    <t xml:space="preserve">Résultat annuel (×12)</t>
  </si>
  <si>
    <t xml:space="preserve">Marge nette, % du CA HT</t>
  </si>
  <si>
    <t xml:space="preserve">Revenu net par abonné et par mois</t>
  </si>
  <si>
    <t xml:space="preserve">Coût variable par abonné et par mois</t>
  </si>
  <si>
    <t xml:space="preserve">Abonnés payants nécessaires pour couvrir les coûts fixes du palier</t>
  </si>
  <si>
    <t xml:space="preserve">Chiffre d'affaires annuel HT</t>
  </si>
  <si>
    <t xml:space="preserve">Valeur d'un abonné sur sa durée de vie (revenu net / churn)</t>
  </si>
  <si>
    <t xml:space="preserve">Lecture : chaque colonne est un palier atteint, en régime stable. Les coûts fixes par palier sont des choix d'organisation (équipe, support) ; les faire varier dans l'onglet Hypothèses déplace immédiatement le seuil de rentabilité.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</si>
</sst>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\(#,##0&quot; €)&quot;;\-"/>
    <numFmt numFmtId="166" formatCode="#,##0.00&quot; €&quot;;\(#,##0.00&quot; €)&quot;;\-"/>
    <numFmt numFmtId="167" formatCode="0.0%;\(0.0%\);\-"/>
    <numFmt numFmtId="168" formatCode="#,##0;\(#,##0\);\-"/>
    <numFmt numFmtId="169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sz val="9"/>
      <color rgb="FF555555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2"/>
    <col collapsed="false" customWidth="true" hidden="false" outlineLevel="0" max="6" min="2" style="1" width="14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 t="n">
        <v>4431</v>
      </c>
      <c r="C5" s="6" t="n">
        <v>16475</v>
      </c>
      <c r="D5" s="6" t="n">
        <v>74919</v>
      </c>
      <c r="E5" s="6" t="n">
        <v>417596</v>
      </c>
      <c r="F5" s="6" t="n">
        <v>2328479</v>
      </c>
    </row>
    <row r="6" customFormat="false" ht="15" hidden="false" customHeight="false" outlineLevel="0" collapsed="false">
      <c r="A6" s="5" t="s">
        <v>9</v>
      </c>
      <c r="B6" s="6" t="n">
        <v>4743</v>
      </c>
      <c r="C6" s="6" t="n">
        <v>18035</v>
      </c>
      <c r="D6" s="6" t="n">
        <v>81159</v>
      </c>
      <c r="E6" s="6" t="n">
        <v>448796</v>
      </c>
      <c r="F6" s="6" t="n">
        <v>2484479</v>
      </c>
    </row>
    <row r="7" customFormat="false" ht="15" hidden="false" customHeight="false" outlineLevel="0" collapsed="false">
      <c r="A7" s="5" t="s">
        <v>10</v>
      </c>
      <c r="B7" s="6" t="n">
        <v>4031</v>
      </c>
      <c r="C7" s="6" t="n">
        <v>14475</v>
      </c>
      <c r="D7" s="6" t="n">
        <v>66919</v>
      </c>
      <c r="E7" s="6" t="n">
        <v>377596</v>
      </c>
      <c r="F7" s="6" t="n">
        <v>2128479</v>
      </c>
    </row>
    <row r="8" customFormat="false" ht="15" hidden="false" customHeight="false" outlineLevel="0" collapsed="false">
      <c r="A8" s="5" t="s">
        <v>11</v>
      </c>
      <c r="B8" s="6" t="n">
        <v>4221</v>
      </c>
      <c r="C8" s="6" t="n">
        <v>15425</v>
      </c>
      <c r="D8" s="6" t="n">
        <v>70719</v>
      </c>
      <c r="E8" s="6" t="n">
        <v>396596</v>
      </c>
      <c r="F8" s="6" t="n">
        <v>2223479</v>
      </c>
    </row>
    <row r="9" customFormat="false" ht="15" hidden="false" customHeight="false" outlineLevel="0" collapsed="false">
      <c r="A9" s="5" t="s">
        <v>12</v>
      </c>
      <c r="B9" s="6" t="n">
        <v>5</v>
      </c>
      <c r="C9" s="6" t="n">
        <v>-5654</v>
      </c>
      <c r="D9" s="6" t="n">
        <v>-13597</v>
      </c>
      <c r="E9" s="6" t="n">
        <v>-24986</v>
      </c>
      <c r="F9" s="6" t="n">
        <v>115569</v>
      </c>
    </row>
    <row r="11" customFormat="false" ht="15" hidden="false" customHeight="false" outlineLevel="0" collapsed="false">
      <c r="A11" s="7" t="s">
        <v>13</v>
      </c>
    </row>
    <row r="12" customFormat="false" ht="15" hidden="false" customHeight="false" outlineLevel="0" collapsed="false">
      <c r="A12" s="8" t="s">
        <v>14</v>
      </c>
    </row>
    <row r="13" customFormat="false" ht="15" hidden="false" customHeight="false" outlineLevel="0" collapsed="false">
      <c r="A13" s="8" t="s">
        <v>15</v>
      </c>
    </row>
    <row r="14" customFormat="false" ht="15" hidden="false" customHeight="false" outlineLevel="0" collapsed="false">
      <c r="A14" s="8" t="s">
        <v>16</v>
      </c>
    </row>
    <row r="15" customFormat="false" ht="15" hidden="false" customHeight="false" outlineLevel="0" collapsed="false">
      <c r="A15" s="8" t="s">
        <v>17</v>
      </c>
    </row>
    <row r="16" customFormat="false" ht="15" hidden="false" customHeight="false" outlineLevel="0" collapsed="false">
      <c r="A16" s="8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6" min="2" style="1" width="16"/>
    <col collapsed="false" customWidth="true" hidden="false" outlineLevel="0" max="8" min="8" style="1" width="60"/>
  </cols>
  <sheetData>
    <row r="1" customFormat="false" ht="16.15" hidden="false" customHeight="false" outlineLevel="0" collapsed="false">
      <c r="A1" s="2" t="s">
        <v>19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0" t="s">
        <v>20</v>
      </c>
      <c r="B2" s="9"/>
      <c r="C2" s="9"/>
      <c r="D2" s="9"/>
      <c r="E2" s="9"/>
      <c r="F2" s="9"/>
      <c r="G2" s="9"/>
      <c r="H2" s="9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</row>
    <row r="4" customFormat="false" ht="15" hidden="false" customHeight="false" outlineLevel="0" collapsed="false">
      <c r="A4" s="4" t="s">
        <v>21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0" collapsed="false">
      <c r="A5" s="9" t="s">
        <v>22</v>
      </c>
      <c r="B5" s="11" t="n">
        <v>9.9</v>
      </c>
      <c r="C5" s="12" t="s">
        <v>23</v>
      </c>
      <c r="D5" s="9"/>
      <c r="E5" s="9"/>
      <c r="F5" s="9"/>
      <c r="G5" s="9"/>
      <c r="H5" s="9"/>
    </row>
    <row r="6" customFormat="false" ht="15" hidden="false" customHeight="false" outlineLevel="0" collapsed="false">
      <c r="A6" s="9" t="s">
        <v>24</v>
      </c>
      <c r="B6" s="11" t="n">
        <v>99</v>
      </c>
      <c r="C6" s="12" t="s">
        <v>23</v>
      </c>
      <c r="D6" s="9"/>
      <c r="E6" s="9"/>
      <c r="F6" s="9"/>
      <c r="G6" s="9"/>
      <c r="H6" s="9"/>
    </row>
    <row r="7" customFormat="false" ht="15" hidden="false" customHeight="false" outlineLevel="0" collapsed="false">
      <c r="A7" s="9" t="s">
        <v>25</v>
      </c>
      <c r="B7" s="13" t="n">
        <v>0.5</v>
      </c>
      <c r="C7" s="12" t="s">
        <v>26</v>
      </c>
      <c r="D7" s="9"/>
      <c r="E7" s="9"/>
      <c r="F7" s="9"/>
      <c r="G7" s="9"/>
      <c r="H7" s="9"/>
    </row>
    <row r="8" customFormat="false" ht="15" hidden="false" customHeight="false" outlineLevel="0" collapsed="false">
      <c r="A8" s="9" t="s">
        <v>27</v>
      </c>
      <c r="B8" s="13" t="n">
        <v>0.2</v>
      </c>
      <c r="C8" s="12" t="s">
        <v>28</v>
      </c>
      <c r="D8" s="9"/>
      <c r="E8" s="9"/>
      <c r="F8" s="9"/>
      <c r="G8" s="9"/>
      <c r="H8" s="9"/>
    </row>
    <row r="9" customFormat="false" ht="15" hidden="false" customHeight="false" outlineLevel="0" collapsed="false">
      <c r="A9" s="9" t="s">
        <v>29</v>
      </c>
      <c r="B9" s="13" t="n">
        <v>0.015</v>
      </c>
      <c r="C9" s="12" t="s">
        <v>30</v>
      </c>
      <c r="D9" s="9"/>
      <c r="E9" s="9"/>
      <c r="F9" s="9"/>
      <c r="G9" s="9"/>
      <c r="H9" s="9"/>
    </row>
    <row r="10" customFormat="false" ht="15" hidden="false" customHeight="false" outlineLevel="0" collapsed="false">
      <c r="A10" s="9" t="s">
        <v>31</v>
      </c>
      <c r="B10" s="11" t="n">
        <v>0.25</v>
      </c>
      <c r="C10" s="12" t="s">
        <v>32</v>
      </c>
      <c r="D10" s="9"/>
      <c r="E10" s="9"/>
      <c r="F10" s="9"/>
      <c r="G10" s="9"/>
      <c r="H10" s="9"/>
    </row>
    <row r="11" customFormat="false" ht="15" hidden="false" customHeight="false" outlineLevel="0" collapsed="false">
      <c r="A11" s="9" t="s">
        <v>33</v>
      </c>
      <c r="B11" s="14" t="n">
        <v>8</v>
      </c>
      <c r="C11" s="12" t="s">
        <v>34</v>
      </c>
      <c r="D11" s="9"/>
      <c r="E11" s="9"/>
      <c r="F11" s="9"/>
      <c r="G11" s="9"/>
      <c r="H11" s="9"/>
    </row>
    <row r="12" customFormat="false" ht="15" hidden="false" customHeight="false" outlineLevel="0" collapsed="false">
      <c r="A12" s="9" t="s">
        <v>35</v>
      </c>
      <c r="B12" s="13" t="n">
        <v>0.03</v>
      </c>
      <c r="C12" s="12" t="s">
        <v>36</v>
      </c>
      <c r="D12" s="9"/>
      <c r="E12" s="9"/>
      <c r="F12" s="9"/>
      <c r="G12" s="9"/>
      <c r="H12" s="9"/>
    </row>
    <row r="13" customFormat="false" ht="15" hidden="false" customHeight="false" outlineLevel="0" collapsed="false">
      <c r="A13" s="4" t="s">
        <v>37</v>
      </c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 t="s">
        <v>38</v>
      </c>
      <c r="B14" s="11" t="n">
        <v>0.05</v>
      </c>
      <c r="C14" s="12" t="s">
        <v>39</v>
      </c>
      <c r="D14" s="9"/>
      <c r="E14" s="9"/>
      <c r="F14" s="9"/>
      <c r="G14" s="9"/>
      <c r="H14" s="9"/>
    </row>
    <row r="15" customFormat="false" ht="15" hidden="false" customHeight="false" outlineLevel="0" collapsed="false">
      <c r="A15" s="9" t="s">
        <v>40</v>
      </c>
      <c r="B15" s="11" t="n">
        <v>0</v>
      </c>
      <c r="C15" s="12" t="s">
        <v>41</v>
      </c>
      <c r="D15" s="9"/>
      <c r="E15" s="9"/>
      <c r="F15" s="9"/>
      <c r="G15" s="9"/>
      <c r="H15" s="9"/>
    </row>
    <row r="16" customFormat="false" ht="15" hidden="false" customHeight="false" outlineLevel="0" collapsed="false">
      <c r="A16" s="9" t="s">
        <v>42</v>
      </c>
      <c r="B16" s="11" t="n">
        <v>1</v>
      </c>
      <c r="C16" s="12" t="s">
        <v>43</v>
      </c>
      <c r="D16" s="9"/>
      <c r="E16" s="9"/>
      <c r="F16" s="9"/>
      <c r="G16" s="9"/>
      <c r="H16" s="9"/>
    </row>
    <row r="17" customFormat="false" ht="15" hidden="false" customHeight="false" outlineLevel="0" collapsed="false">
      <c r="A17" s="9" t="s">
        <v>44</v>
      </c>
      <c r="B17" s="13" t="n">
        <v>0.6</v>
      </c>
      <c r="C17" s="12" t="s">
        <v>45</v>
      </c>
      <c r="D17" s="9"/>
      <c r="E17" s="9"/>
      <c r="F17" s="9"/>
      <c r="G17" s="9"/>
      <c r="H17" s="9"/>
    </row>
    <row r="18" customFormat="false" ht="15" hidden="false" customHeight="false" outlineLevel="0" collapsed="false">
      <c r="A18" s="9" t="s">
        <v>46</v>
      </c>
      <c r="B18" s="15" t="n">
        <v>1.3</v>
      </c>
      <c r="C18" s="12" t="s">
        <v>47</v>
      </c>
      <c r="D18" s="9"/>
      <c r="E18" s="9"/>
      <c r="F18" s="9"/>
      <c r="G18" s="9"/>
      <c r="H18" s="9"/>
    </row>
    <row r="19" customFormat="false" ht="15" hidden="false" customHeight="false" outlineLevel="0" collapsed="false">
      <c r="A19" s="9" t="s">
        <v>48</v>
      </c>
      <c r="B19" s="11" t="n">
        <v>0.01</v>
      </c>
      <c r="C19" s="12" t="s">
        <v>49</v>
      </c>
      <c r="D19" s="9"/>
      <c r="E19" s="9"/>
      <c r="F19" s="9"/>
      <c r="G19" s="9"/>
      <c r="H19" s="9"/>
    </row>
    <row r="20" customFormat="false" ht="15" hidden="false" customHeight="false" outlineLevel="0" collapsed="false">
      <c r="A20" s="9" t="s">
        <v>50</v>
      </c>
      <c r="B20" s="11" t="n">
        <v>0.02</v>
      </c>
      <c r="C20" s="12" t="s">
        <v>51</v>
      </c>
      <c r="D20" s="9"/>
      <c r="E20" s="9"/>
      <c r="F20" s="9"/>
      <c r="G20" s="9"/>
      <c r="H20" s="9"/>
    </row>
    <row r="21" customFormat="false" ht="15" hidden="false" customHeight="false" outlineLevel="0" collapsed="false">
      <c r="A21" s="9" t="s">
        <v>52</v>
      </c>
      <c r="B21" s="11" t="n">
        <v>20</v>
      </c>
      <c r="C21" s="12" t="s">
        <v>53</v>
      </c>
      <c r="D21" s="9"/>
      <c r="E21" s="9"/>
      <c r="F21" s="9"/>
      <c r="G21" s="9"/>
      <c r="H21" s="9"/>
    </row>
    <row r="22" customFormat="false" ht="15" hidden="false" customHeight="false" outlineLevel="0" collapsed="false">
      <c r="A22" s="4" t="s">
        <v>54</v>
      </c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7" t="s">
        <v>55</v>
      </c>
      <c r="B23" s="14" t="n">
        <v>1000</v>
      </c>
      <c r="C23" s="14" t="n">
        <v>5000</v>
      </c>
      <c r="D23" s="14" t="n">
        <v>20000</v>
      </c>
      <c r="E23" s="14" t="n">
        <v>100000</v>
      </c>
      <c r="F23" s="14" t="n">
        <v>500000</v>
      </c>
      <c r="G23" s="9"/>
      <c r="H23" s="9"/>
    </row>
    <row r="24" customFormat="false" ht="15" hidden="false" customHeight="false" outlineLevel="0" collapsed="false">
      <c r="A24" s="9" t="s">
        <v>56</v>
      </c>
      <c r="B24" s="16" t="n">
        <v>60</v>
      </c>
      <c r="C24" s="16" t="n">
        <v>180</v>
      </c>
      <c r="D24" s="16" t="n">
        <v>600</v>
      </c>
      <c r="E24" s="16" t="n">
        <v>2500</v>
      </c>
      <c r="F24" s="16" t="n">
        <v>9000</v>
      </c>
      <c r="G24" s="9"/>
      <c r="H24" s="12" t="s">
        <v>57</v>
      </c>
    </row>
    <row r="25" customFormat="false" ht="15" hidden="false" customHeight="false" outlineLevel="0" collapsed="false">
      <c r="A25" s="9" t="s">
        <v>58</v>
      </c>
      <c r="B25" s="16" t="n">
        <v>0</v>
      </c>
      <c r="C25" s="16" t="n">
        <v>6000</v>
      </c>
      <c r="D25" s="16" t="n">
        <v>18000</v>
      </c>
      <c r="E25" s="16" t="n">
        <v>60000</v>
      </c>
      <c r="F25" s="16" t="n">
        <v>180000</v>
      </c>
      <c r="G25" s="9"/>
      <c r="H25" s="12" t="s">
        <v>59</v>
      </c>
    </row>
    <row r="26" customFormat="false" ht="15" hidden="false" customHeight="false" outlineLevel="0" collapsed="false">
      <c r="A26" s="9" t="s">
        <v>60</v>
      </c>
      <c r="B26" s="16" t="n">
        <v>0</v>
      </c>
      <c r="C26" s="16" t="n">
        <v>2000</v>
      </c>
      <c r="D26" s="16" t="n">
        <v>7000</v>
      </c>
      <c r="E26" s="16" t="n">
        <v>28000</v>
      </c>
      <c r="F26" s="16" t="n">
        <v>100000</v>
      </c>
      <c r="G26" s="9"/>
      <c r="H26" s="12" t="s">
        <v>61</v>
      </c>
    </row>
    <row r="27" customFormat="false" ht="15" hidden="false" customHeight="false" outlineLevel="0" collapsed="false">
      <c r="A27" s="9" t="s">
        <v>62</v>
      </c>
      <c r="B27" s="16" t="n">
        <v>500</v>
      </c>
      <c r="C27" s="16" t="n">
        <v>1000</v>
      </c>
      <c r="D27" s="16" t="n">
        <v>2500</v>
      </c>
      <c r="E27" s="16" t="n">
        <v>8000</v>
      </c>
      <c r="F27" s="16" t="n">
        <v>20000</v>
      </c>
      <c r="G27" s="9"/>
      <c r="H27" s="12" t="s">
        <v>63</v>
      </c>
    </row>
    <row r="28" customFormat="false" ht="15" hidden="false" customHeight="false" outlineLevel="0" collapsed="false">
      <c r="A28" s="9" t="s">
        <v>64</v>
      </c>
      <c r="B28" s="16" t="n">
        <v>100</v>
      </c>
      <c r="C28" s="16" t="n">
        <v>300</v>
      </c>
      <c r="D28" s="16" t="n">
        <v>800</v>
      </c>
      <c r="E28" s="16" t="n">
        <v>3000</v>
      </c>
      <c r="F28" s="16" t="n">
        <v>8000</v>
      </c>
      <c r="G28" s="9"/>
      <c r="H28" s="12"/>
    </row>
    <row r="29" customFormat="false" ht="15" hidden="false" customHeight="false" outlineLevel="0" collapsed="false">
      <c r="A29" s="9" t="s">
        <v>65</v>
      </c>
      <c r="B29" s="16" t="n">
        <v>500</v>
      </c>
      <c r="C29" s="16" t="n">
        <v>2000</v>
      </c>
      <c r="D29" s="16" t="n">
        <v>8000</v>
      </c>
      <c r="E29" s="16" t="n">
        <v>40000</v>
      </c>
      <c r="F29" s="16" t="n">
        <v>150000</v>
      </c>
      <c r="G29" s="9"/>
      <c r="H29" s="12" t="s">
        <v>66</v>
      </c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3" t="s">
        <v>67</v>
      </c>
      <c r="B31" s="9"/>
      <c r="C31" s="9"/>
      <c r="D31" s="9"/>
      <c r="E31" s="9"/>
      <c r="F31" s="9"/>
      <c r="G31" s="9"/>
      <c r="H3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5" min="2" style="1" width="15"/>
    <col collapsed="false" customWidth="true" hidden="false" outlineLevel="0" max="6" min="6" style="1" width="70"/>
  </cols>
  <sheetData>
    <row r="1" customFormat="false" ht="16.15" hidden="false" customHeight="false" outlineLevel="0" collapsed="false">
      <c r="A1" s="2" t="s">
        <v>68</v>
      </c>
    </row>
    <row r="2" customFormat="false" ht="15" hidden="false" customHeight="false" outlineLevel="0" collapsed="false">
      <c r="A2" s="3" t="s">
        <v>69</v>
      </c>
    </row>
    <row r="4" customFormat="false" ht="15" hidden="false" customHeight="false" outlineLevel="0" collapsed="false">
      <c r="A4" s="4" t="s">
        <v>70</v>
      </c>
    </row>
    <row r="5" customFormat="false" ht="15" hidden="false" customHeight="false" outlineLevel="0" collapsed="false">
      <c r="A5" s="5" t="s">
        <v>71</v>
      </c>
      <c r="B5" s="14" t="n">
        <v>500</v>
      </c>
      <c r="C5" s="14" t="n">
        <v>1500</v>
      </c>
      <c r="D5" s="14" t="n">
        <v>4000</v>
      </c>
      <c r="F5" s="12" t="s">
        <v>72</v>
      </c>
    </row>
    <row r="6" customFormat="false" ht="15" hidden="false" customHeight="false" outlineLevel="0" collapsed="false">
      <c r="A6" s="5" t="s">
        <v>73</v>
      </c>
      <c r="B6" s="13" t="n">
        <v>0.08</v>
      </c>
      <c r="C6" s="13" t="n">
        <v>0.08</v>
      </c>
      <c r="D6" s="13" t="n">
        <v>0.08</v>
      </c>
      <c r="F6" s="12" t="s">
        <v>74</v>
      </c>
    </row>
    <row r="7" customFormat="false" ht="15" hidden="false" customHeight="false" outlineLevel="0" collapsed="false">
      <c r="A7" s="5" t="s">
        <v>75</v>
      </c>
      <c r="B7" s="13" t="n">
        <v>0.03</v>
      </c>
      <c r="C7" s="13" t="n">
        <v>0.03</v>
      </c>
      <c r="D7" s="13" t="n">
        <v>0.03</v>
      </c>
      <c r="F7" s="12"/>
    </row>
    <row r="8" customFormat="false" ht="15" hidden="false" customHeight="false" outlineLevel="0" collapsed="false">
      <c r="A8" s="5" t="s">
        <v>76</v>
      </c>
      <c r="B8" s="13" t="n">
        <v>0.5</v>
      </c>
      <c r="C8" s="13" t="n">
        <v>0.5</v>
      </c>
      <c r="D8" s="13" t="n">
        <v>0.5</v>
      </c>
      <c r="F8" s="12" t="s">
        <v>77</v>
      </c>
    </row>
    <row r="9" customFormat="false" ht="15" hidden="false" customHeight="false" outlineLevel="0" collapsed="false">
      <c r="A9" s="5" t="s">
        <v>78</v>
      </c>
      <c r="B9" s="14" t="n">
        <v>8</v>
      </c>
      <c r="C9" s="14" t="n">
        <v>8</v>
      </c>
      <c r="D9" s="14" t="n">
        <v>8</v>
      </c>
      <c r="F9" s="12" t="s">
        <v>79</v>
      </c>
    </row>
    <row r="10" customFormat="false" ht="15" hidden="false" customHeight="false" outlineLevel="0" collapsed="false">
      <c r="A10" s="5" t="s">
        <v>80</v>
      </c>
      <c r="B10" s="14" t="n">
        <v>0</v>
      </c>
      <c r="C10" s="14" t="n">
        <v>0</v>
      </c>
      <c r="D10" s="14" t="n">
        <v>0</v>
      </c>
      <c r="F10" s="12" t="s">
        <v>81</v>
      </c>
    </row>
    <row r="11" customFormat="false" ht="15" hidden="false" customHeight="false" outlineLevel="0" collapsed="false">
      <c r="A11" s="5" t="s">
        <v>82</v>
      </c>
      <c r="B11" s="16" t="n">
        <v>60</v>
      </c>
      <c r="C11" s="16" t="n">
        <v>60</v>
      </c>
      <c r="D11" s="16" t="n">
        <v>120</v>
      </c>
      <c r="F11" s="12" t="s">
        <v>83</v>
      </c>
    </row>
    <row r="12" customFormat="false" ht="15" hidden="false" customHeight="false" outlineLevel="0" collapsed="false">
      <c r="A12" s="5" t="s">
        <v>84</v>
      </c>
      <c r="B12" s="16" t="n">
        <v>900</v>
      </c>
      <c r="C12" s="16" t="n">
        <v>500</v>
      </c>
      <c r="D12" s="16" t="n">
        <v>500</v>
      </c>
      <c r="F12" s="12" t="s">
        <v>85</v>
      </c>
    </row>
    <row r="13" customFormat="false" ht="15" hidden="false" customHeight="false" outlineLevel="0" collapsed="false">
      <c r="A13" s="5" t="s">
        <v>86</v>
      </c>
      <c r="B13" s="16" t="n">
        <v>100</v>
      </c>
      <c r="C13" s="16" t="n">
        <v>100</v>
      </c>
      <c r="D13" s="16" t="n">
        <v>150</v>
      </c>
      <c r="F13" s="12"/>
    </row>
    <row r="14" customFormat="false" ht="15" hidden="false" customHeight="false" outlineLevel="0" collapsed="false">
      <c r="A14" s="5" t="s">
        <v>87</v>
      </c>
      <c r="B14" s="16" t="n">
        <v>300</v>
      </c>
      <c r="C14" s="16" t="n">
        <v>500</v>
      </c>
      <c r="D14" s="16" t="n">
        <v>1000</v>
      </c>
      <c r="F14" s="12" t="s">
        <v>88</v>
      </c>
    </row>
    <row r="15" customFormat="false" ht="15" hidden="false" customHeight="false" outlineLevel="0" collapsed="false">
      <c r="A15" s="5" t="s">
        <v>89</v>
      </c>
      <c r="B15" s="16" t="n">
        <v>0</v>
      </c>
      <c r="C15" s="16" t="n">
        <v>0</v>
      </c>
      <c r="D15" s="16" t="n">
        <v>0</v>
      </c>
      <c r="F15" s="12" t="s">
        <v>90</v>
      </c>
    </row>
    <row r="17" customFormat="false" ht="15" hidden="false" customHeight="false" outlineLevel="0" collapsed="false">
      <c r="A17" s="4" t="s">
        <v>91</v>
      </c>
    </row>
    <row r="18" customFormat="false" ht="15" hidden="false" customHeight="false" outlineLevel="0" collapsed="false">
      <c r="A18" s="5" t="s">
        <v>92</v>
      </c>
      <c r="B18" s="17" t="n">
        <f aca="false">0.85*0.005+0.15*0.02</f>
        <v>0.00725</v>
      </c>
      <c r="F18" s="12" t="s">
        <v>93</v>
      </c>
    </row>
    <row r="19" customFormat="false" ht="15" hidden="false" customHeight="false" outlineLevel="0" collapsed="false">
      <c r="A19" s="5" t="s">
        <v>94</v>
      </c>
      <c r="B19" s="17" t="n">
        <f aca="false">Hypothèses!$B$16</f>
        <v>1</v>
      </c>
      <c r="F19" s="12"/>
    </row>
    <row r="20" customFormat="false" ht="15" hidden="false" customHeight="false" outlineLevel="0" collapsed="false">
      <c r="A20" s="5" t="s">
        <v>95</v>
      </c>
      <c r="B20" s="18" t="n">
        <f aca="false">Hypothèses!$B$18</f>
        <v>1.3</v>
      </c>
      <c r="F20" s="12"/>
    </row>
    <row r="21" customFormat="false" ht="15" hidden="false" customHeight="false" outlineLevel="0" collapsed="false">
      <c r="A21" s="5" t="s">
        <v>96</v>
      </c>
      <c r="B21" s="17" t="n">
        <f aca="false">Hypothèses!$B$19</f>
        <v>0.01</v>
      </c>
      <c r="F21" s="12" t="s">
        <v>97</v>
      </c>
    </row>
    <row r="22" customFormat="false" ht="15" hidden="false" customHeight="false" outlineLevel="0" collapsed="false">
      <c r="A22" s="5" t="s">
        <v>98</v>
      </c>
      <c r="B22" s="17" t="n">
        <f aca="false">Prévisionnel!$B$14/Prévisionnel!$B$4</f>
        <v>7.29095833333333</v>
      </c>
      <c r="F22" s="12" t="s">
        <v>99</v>
      </c>
    </row>
    <row r="23" customFormat="false" ht="15" hidden="false" customHeight="false" outlineLevel="0" collapsed="false">
      <c r="A23" s="5" t="s">
        <v>100</v>
      </c>
      <c r="B23" s="17" t="n">
        <f aca="false">-Prévisionnel!$B$21/Prévisionnel!$B$4</f>
        <v>1.7</v>
      </c>
      <c r="F23" s="12" t="s">
        <v>101</v>
      </c>
    </row>
    <row r="25" customFormat="false" ht="15" hidden="false" customHeight="false" outlineLevel="0" collapsed="false">
      <c r="A25" s="4" t="s">
        <v>102</v>
      </c>
      <c r="B25" s="4" t="s">
        <v>103</v>
      </c>
      <c r="C25" s="4" t="s">
        <v>104</v>
      </c>
      <c r="D25" s="4" t="s">
        <v>105</v>
      </c>
      <c r="E25" s="4" t="s">
        <v>106</v>
      </c>
    </row>
    <row r="26" customFormat="false" ht="15" hidden="false" customHeight="false" outlineLevel="0" collapsed="false">
      <c r="A26" s="5" t="s">
        <v>107</v>
      </c>
      <c r="B26" s="19" t="n">
        <f aca="false">B5</f>
        <v>500</v>
      </c>
      <c r="C26" s="19" t="n">
        <f aca="false">C5</f>
        <v>1500</v>
      </c>
      <c r="D26" s="19" t="n">
        <f aca="false">D5</f>
        <v>4000</v>
      </c>
      <c r="E26" s="20" t="n">
        <f aca="false">SUM(B26:D26)</f>
        <v>6000</v>
      </c>
    </row>
    <row r="27" customFormat="false" ht="15" hidden="false" customHeight="false" outlineLevel="0" collapsed="false">
      <c r="A27" s="5" t="s">
        <v>108</v>
      </c>
      <c r="B27" s="19" t="n">
        <f aca="false">B26</f>
        <v>500</v>
      </c>
      <c r="C27" s="19" t="n">
        <f aca="false">C26</f>
        <v>1500</v>
      </c>
      <c r="D27" s="19" t="n">
        <f aca="false">D26</f>
        <v>4000</v>
      </c>
    </row>
    <row r="28" customFormat="false" ht="15" hidden="false" customHeight="false" outlineLevel="0" collapsed="false">
      <c r="A28" s="5" t="s">
        <v>109</v>
      </c>
      <c r="B28" s="19" t="n">
        <f aca="false">ROUND(B26*B6,0)</f>
        <v>40</v>
      </c>
      <c r="C28" s="19" t="n">
        <f aca="false">ROUND(C26*C6,0)</f>
        <v>120</v>
      </c>
      <c r="D28" s="19" t="n">
        <f aca="false">ROUND(D26*D6,0)</f>
        <v>320</v>
      </c>
      <c r="E28" s="20" t="n">
        <f aca="false">SUM(B28:D28)</f>
        <v>480</v>
      </c>
    </row>
    <row r="29" customFormat="false" ht="15" hidden="false" customHeight="false" outlineLevel="0" collapsed="false">
      <c r="A29" s="7" t="s">
        <v>110</v>
      </c>
      <c r="B29" s="20" t="n">
        <f aca="false">B28</f>
        <v>40</v>
      </c>
      <c r="C29" s="20" t="n">
        <f aca="false">ROUND(B29*(1-C7),0)+C28</f>
        <v>159</v>
      </c>
      <c r="D29" s="20" t="n">
        <f aca="false">ROUND(C29*(1-D7),0)+D28</f>
        <v>474</v>
      </c>
    </row>
    <row r="30" customFormat="false" ht="15" hidden="false" customHeight="false" outlineLevel="0" collapsed="false">
      <c r="A30" s="5" t="s">
        <v>111</v>
      </c>
      <c r="B30" s="21" t="n">
        <f aca="false">B26-B28</f>
        <v>460</v>
      </c>
      <c r="C30" s="21" t="n">
        <f aca="false">B30+C26-C28</f>
        <v>1840</v>
      </c>
      <c r="D30" s="21" t="n">
        <f aca="false">C30+D26-D28</f>
        <v>5520</v>
      </c>
    </row>
    <row r="32" customFormat="false" ht="15" hidden="false" customHeight="false" outlineLevel="0" collapsed="false">
      <c r="A32" s="4" t="s">
        <v>21</v>
      </c>
    </row>
    <row r="33" customFormat="false" ht="15" hidden="false" customHeight="false" outlineLevel="0" collapsed="false">
      <c r="A33" s="7" t="s">
        <v>112</v>
      </c>
      <c r="B33" s="22" t="n">
        <f aca="false">(B29-B28/2)*$B$22</f>
        <v>145.819166666667</v>
      </c>
      <c r="C33" s="22" t="n">
        <f aca="false">(C29-C28/2)*$B$22</f>
        <v>721.804875</v>
      </c>
      <c r="D33" s="22" t="n">
        <f aca="false">(D29-D28/2)*$B$22</f>
        <v>2289.36091666667</v>
      </c>
      <c r="E33" s="22" t="n">
        <f aca="false">SUM(B33:D33)</f>
        <v>3156.98495833333</v>
      </c>
    </row>
    <row r="35" customFormat="false" ht="15" hidden="false" customHeight="false" outlineLevel="0" collapsed="false">
      <c r="A35" s="4" t="s">
        <v>113</v>
      </c>
    </row>
    <row r="36" customFormat="false" ht="15" hidden="false" customHeight="false" outlineLevel="0" collapsed="false">
      <c r="A36" s="5" t="s">
        <v>114</v>
      </c>
      <c r="B36" s="23" t="n">
        <f aca="false">-B27*B9*$B$18</f>
        <v>-29</v>
      </c>
      <c r="C36" s="23" t="n">
        <f aca="false">-C27*C9*$B$18</f>
        <v>-87</v>
      </c>
      <c r="D36" s="23" t="n">
        <f aca="false">-D27*D9*$B$18</f>
        <v>-232</v>
      </c>
      <c r="E36" s="22" t="n">
        <f aca="false">SUM(B36:D36)</f>
        <v>-348</v>
      </c>
    </row>
    <row r="37" customFormat="false" ht="15" hidden="false" customHeight="false" outlineLevel="0" collapsed="false">
      <c r="A37" s="5" t="s">
        <v>115</v>
      </c>
      <c r="B37" s="23" t="n">
        <f aca="false">-B27*B8*$B$20*$B$19*0.5</f>
        <v>-162.5</v>
      </c>
      <c r="C37" s="23" t="n">
        <f aca="false">-C27*C8*$B$20*$B$19*0.5</f>
        <v>-487.5</v>
      </c>
      <c r="D37" s="23" t="n">
        <f aca="false">-D27*D8*$B$20*$B$19*0.5</f>
        <v>-1300</v>
      </c>
      <c r="E37" s="22" t="n">
        <f aca="false">SUM(B37:D37)</f>
        <v>-1950</v>
      </c>
    </row>
    <row r="38" customFormat="false" ht="15" hidden="false" customHeight="false" outlineLevel="0" collapsed="false">
      <c r="A38" s="5" t="s">
        <v>116</v>
      </c>
      <c r="B38" s="23" t="n">
        <f aca="false">-B30*(B10*0.005+$B$21)</f>
        <v>-4.6</v>
      </c>
      <c r="C38" s="23" t="n">
        <f aca="false">-C30*(C10*0.005+$B$21)</f>
        <v>-18.4</v>
      </c>
      <c r="D38" s="23" t="n">
        <f aca="false">-D30*(D10*0.005+$B$21)</f>
        <v>-55.2</v>
      </c>
      <c r="E38" s="22" t="n">
        <f aca="false">SUM(B38:D38)</f>
        <v>-78.2</v>
      </c>
    </row>
    <row r="39" customFormat="false" ht="15" hidden="false" customHeight="false" outlineLevel="0" collapsed="false">
      <c r="A39" s="5" t="s">
        <v>117</v>
      </c>
      <c r="B39" s="23" t="n">
        <f aca="false">-(B29-B28/2)*$B$23</f>
        <v>-34</v>
      </c>
      <c r="C39" s="23" t="n">
        <f aca="false">-(C29-C28/2)*$B$23</f>
        <v>-168.3</v>
      </c>
      <c r="D39" s="23" t="n">
        <f aca="false">-(D29-D28/2)*$B$23</f>
        <v>-533.8</v>
      </c>
      <c r="E39" s="22" t="n">
        <f aca="false">SUM(B39:D39)</f>
        <v>-736.1</v>
      </c>
    </row>
    <row r="40" customFormat="false" ht="15" hidden="false" customHeight="false" outlineLevel="0" collapsed="false">
      <c r="A40" s="7" t="s">
        <v>118</v>
      </c>
      <c r="B40" s="22" t="n">
        <f aca="false">SUM(B36:B39)</f>
        <v>-230.1</v>
      </c>
      <c r="C40" s="22" t="n">
        <f aca="false">SUM(C36:C39)</f>
        <v>-761.2</v>
      </c>
      <c r="D40" s="22" t="n">
        <f aca="false">SUM(D36:D39)</f>
        <v>-2121</v>
      </c>
      <c r="E40" s="22" t="n">
        <f aca="false">SUM(B40:D40)</f>
        <v>-3112.3</v>
      </c>
    </row>
    <row r="42" customFormat="false" ht="15" hidden="false" customHeight="false" outlineLevel="0" collapsed="false">
      <c r="A42" s="4" t="s">
        <v>119</v>
      </c>
    </row>
    <row r="43" customFormat="false" ht="15" hidden="false" customHeight="false" outlineLevel="0" collapsed="false">
      <c r="A43" s="5" t="s">
        <v>82</v>
      </c>
      <c r="B43" s="24" t="n">
        <f aca="false">-B11</f>
        <v>-60</v>
      </c>
      <c r="C43" s="24" t="n">
        <f aca="false">-C11</f>
        <v>-60</v>
      </c>
      <c r="D43" s="24" t="n">
        <f aca="false">-D11</f>
        <v>-120</v>
      </c>
      <c r="E43" s="22" t="n">
        <f aca="false">SUM(B43:D43)</f>
        <v>-240</v>
      </c>
    </row>
    <row r="44" customFormat="false" ht="15" hidden="false" customHeight="false" outlineLevel="0" collapsed="false">
      <c r="A44" s="5" t="s">
        <v>84</v>
      </c>
      <c r="B44" s="24" t="n">
        <f aca="false">-B12</f>
        <v>-900</v>
      </c>
      <c r="C44" s="24" t="n">
        <f aca="false">-C12</f>
        <v>-500</v>
      </c>
      <c r="D44" s="24" t="n">
        <f aca="false">-D12</f>
        <v>-500</v>
      </c>
      <c r="E44" s="22" t="n">
        <f aca="false">SUM(B44:D44)</f>
        <v>-1900</v>
      </c>
    </row>
    <row r="45" customFormat="false" ht="15" hidden="false" customHeight="false" outlineLevel="0" collapsed="false">
      <c r="A45" s="5" t="s">
        <v>86</v>
      </c>
      <c r="B45" s="24" t="n">
        <f aca="false">-B13</f>
        <v>-100</v>
      </c>
      <c r="C45" s="24" t="n">
        <f aca="false">-C13</f>
        <v>-100</v>
      </c>
      <c r="D45" s="24" t="n">
        <f aca="false">-D13</f>
        <v>-150</v>
      </c>
      <c r="E45" s="22" t="n">
        <f aca="false">SUM(B45:D45)</f>
        <v>-350</v>
      </c>
    </row>
    <row r="46" customFormat="false" ht="15" hidden="false" customHeight="false" outlineLevel="0" collapsed="false">
      <c r="A46" s="5" t="s">
        <v>87</v>
      </c>
      <c r="B46" s="24" t="n">
        <f aca="false">-B14</f>
        <v>-300</v>
      </c>
      <c r="C46" s="24" t="n">
        <f aca="false">-C14</f>
        <v>-500</v>
      </c>
      <c r="D46" s="24" t="n">
        <f aca="false">-D14</f>
        <v>-1000</v>
      </c>
      <c r="E46" s="22" t="n">
        <f aca="false">SUM(B46:D46)</f>
        <v>-1800</v>
      </c>
    </row>
    <row r="47" customFormat="false" ht="15" hidden="false" customHeight="false" outlineLevel="0" collapsed="false">
      <c r="A47" s="5" t="s">
        <v>89</v>
      </c>
      <c r="B47" s="24" t="n">
        <f aca="false">-B15</f>
        <v>-0</v>
      </c>
      <c r="C47" s="24" t="n">
        <f aca="false">-C15</f>
        <v>-0</v>
      </c>
      <c r="D47" s="24" t="n">
        <f aca="false">-D15</f>
        <v>-0</v>
      </c>
      <c r="E47" s="22" t="n">
        <f aca="false">SUM(B47:D47)</f>
        <v>0</v>
      </c>
    </row>
    <row r="48" customFormat="false" ht="15" hidden="false" customHeight="false" outlineLevel="0" collapsed="false">
      <c r="A48" s="7" t="s">
        <v>120</v>
      </c>
      <c r="B48" s="22" t="n">
        <f aca="false">SUM(B43:B47)</f>
        <v>-1360</v>
      </c>
      <c r="C48" s="22" t="n">
        <f aca="false">SUM(C43:C47)</f>
        <v>-1160</v>
      </c>
      <c r="D48" s="22" t="n">
        <f aca="false">SUM(D43:D47)</f>
        <v>-1770</v>
      </c>
      <c r="E48" s="22" t="n">
        <f aca="false">SUM(B48:D48)</f>
        <v>-4290</v>
      </c>
    </row>
    <row r="50" customFormat="false" ht="15" hidden="false" customHeight="false" outlineLevel="0" collapsed="false">
      <c r="A50" s="7" t="s">
        <v>121</v>
      </c>
      <c r="B50" s="25" t="n">
        <f aca="false">B33+B40+B48</f>
        <v>-1444.28083333333</v>
      </c>
      <c r="C50" s="25" t="n">
        <f aca="false">C33+C40+C48</f>
        <v>-1199.395125</v>
      </c>
      <c r="D50" s="25" t="n">
        <f aca="false">D33+D40+D48</f>
        <v>-1601.63908333333</v>
      </c>
      <c r="E50" s="25" t="n">
        <f aca="false">SUM(B50:D50)</f>
        <v>-4245.31504166667</v>
      </c>
    </row>
    <row r="51" customFormat="false" ht="15" hidden="false" customHeight="false" outlineLevel="0" collapsed="false">
      <c r="A51" s="7" t="s">
        <v>122</v>
      </c>
      <c r="B51" s="22" t="n">
        <f aca="false">B50</f>
        <v>-1444.28083333333</v>
      </c>
      <c r="C51" s="22" t="n">
        <f aca="false">B51+C50</f>
        <v>-2643.67595833333</v>
      </c>
      <c r="D51" s="22" t="n">
        <f aca="false">C51+D50</f>
        <v>-4245.31504166667</v>
      </c>
    </row>
    <row r="53" customFormat="false" ht="15" hidden="false" customHeight="false" outlineLevel="0" collapsed="false">
      <c r="A53" s="4" t="s">
        <v>123</v>
      </c>
    </row>
    <row r="54" customFormat="false" ht="15" hidden="false" customHeight="false" outlineLevel="0" collapsed="false">
      <c r="A54" s="5" t="s">
        <v>124</v>
      </c>
      <c r="B54" s="26" t="n">
        <f aca="false">IF(B26=0,0,-(B36+B37)/B26)</f>
        <v>0.383</v>
      </c>
      <c r="C54" s="26" t="n">
        <f aca="false">IF(C26=0,0,-(C36+C37)/C26)</f>
        <v>0.383</v>
      </c>
      <c r="D54" s="26" t="n">
        <f aca="false">IF(D26=0,0,-(D36+D37)/D26)</f>
        <v>0.383</v>
      </c>
    </row>
    <row r="55" customFormat="false" ht="15" hidden="false" customHeight="false" outlineLevel="0" collapsed="false">
      <c r="A55" s="5" t="s">
        <v>125</v>
      </c>
      <c r="B55" s="26" t="n">
        <f aca="false">IF(B30=0,0,-B38/B30)</f>
        <v>0.01</v>
      </c>
      <c r="C55" s="26" t="n">
        <f aca="false">IF(C30=0,0,-C38/C30)</f>
        <v>0.01</v>
      </c>
      <c r="D55" s="26" t="n">
        <f aca="false">IF(D30=0,0,-D38/D30)</f>
        <v>0.01</v>
      </c>
    </row>
    <row r="56" customFormat="false" ht="15" hidden="false" customHeight="false" outlineLevel="0" collapsed="false">
      <c r="A56" s="5" t="s">
        <v>126</v>
      </c>
      <c r="B56" s="26" t="n">
        <f aca="false">IF(B28=0,0,-(B36+B37)/B28)</f>
        <v>4.7875</v>
      </c>
      <c r="C56" s="26" t="n">
        <f aca="false">IF(C28=0,0,-(C36+C37)/C28)</f>
        <v>4.7875</v>
      </c>
      <c r="D56" s="26" t="n">
        <f aca="false">IF(D28=0,0,-(D36+D37)/D28)</f>
        <v>4.7875</v>
      </c>
    </row>
    <row r="57" customFormat="false" ht="15" hidden="false" customHeight="false" outlineLevel="0" collapsed="false">
      <c r="A57" s="5" t="s">
        <v>127</v>
      </c>
      <c r="B57" s="23" t="n">
        <f aca="false">(B29-B28/2)*Prévisionnel!$B$9</f>
        <v>181.5</v>
      </c>
      <c r="C57" s="23" t="n">
        <f aca="false">(C29-C28/2)*Prévisionnel!$B$9</f>
        <v>898.425</v>
      </c>
      <c r="D57" s="23" t="n">
        <f aca="false">(D29-D28/2)*Prévisionnel!$B$9</f>
        <v>2849.55</v>
      </c>
      <c r="E57" s="22" t="n">
        <f aca="false">SUM(B57:D57)</f>
        <v>3929.475</v>
      </c>
    </row>
    <row r="59" customFormat="false" ht="15" hidden="false" customHeight="false" outlineLevel="0" collapsed="false">
      <c r="A59" s="3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16.15" hidden="false" customHeight="false" outlineLevel="0" collapsed="false">
      <c r="A1" s="2" t="s">
        <v>129</v>
      </c>
    </row>
    <row r="2" customFormat="false" ht="15" hidden="false" customHeight="false" outlineLevel="0" collapsed="false">
      <c r="A2" s="10" t="s">
        <v>130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</row>
    <row r="4" customFormat="false" ht="15" hidden="false" customHeight="false" outlineLevel="0" collapsed="false">
      <c r="A4" s="7" t="s">
        <v>131</v>
      </c>
      <c r="B4" s="27" t="n">
        <f aca="false">Hypothèses!B$23</f>
        <v>1000</v>
      </c>
      <c r="C4" s="27" t="n">
        <f aca="false">Hypothèses!C$23</f>
        <v>5000</v>
      </c>
      <c r="D4" s="27" t="n">
        <f aca="false">Hypothèses!D$23</f>
        <v>20000</v>
      </c>
      <c r="E4" s="27" t="n">
        <f aca="false">Hypothèses!E$23</f>
        <v>100000</v>
      </c>
      <c r="F4" s="27" t="n">
        <f aca="false">Hypothèses!F$23</f>
        <v>500000</v>
      </c>
    </row>
    <row r="5" customFormat="false" ht="15" hidden="false" customHeight="false" outlineLevel="0" collapsed="false">
      <c r="A5" s="5" t="s">
        <v>132</v>
      </c>
      <c r="B5" s="19" t="n">
        <f aca="false">B4*Hypothèses!$B$11</f>
        <v>8000</v>
      </c>
      <c r="C5" s="19" t="n">
        <f aca="false">C4*Hypothèses!$B$11</f>
        <v>40000</v>
      </c>
      <c r="D5" s="19" t="n">
        <f aca="false">D4*Hypothèses!$B$11</f>
        <v>160000</v>
      </c>
      <c r="E5" s="19" t="n">
        <f aca="false">E4*Hypothèses!$B$11</f>
        <v>800000</v>
      </c>
      <c r="F5" s="19" t="n">
        <f aca="false">F4*Hypothèses!$B$11</f>
        <v>4000000</v>
      </c>
    </row>
    <row r="6" customFormat="false" ht="15" hidden="false" customHeight="false" outlineLevel="0" collapsed="false">
      <c r="A6" s="5" t="s">
        <v>133</v>
      </c>
      <c r="B6" s="19" t="n">
        <f aca="false">B4+B5</f>
        <v>9000</v>
      </c>
      <c r="C6" s="19" t="n">
        <f aca="false">C4+C5</f>
        <v>45000</v>
      </c>
      <c r="D6" s="19" t="n">
        <f aca="false">D4+D5</f>
        <v>180000</v>
      </c>
      <c r="E6" s="19" t="n">
        <f aca="false">E4+E5</f>
        <v>900000</v>
      </c>
      <c r="F6" s="19" t="n">
        <f aca="false">F4+F5</f>
        <v>4500000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4" t="s">
        <v>21</v>
      </c>
      <c r="B8" s="9"/>
      <c r="C8" s="9"/>
      <c r="D8" s="9"/>
      <c r="E8" s="9"/>
      <c r="F8" s="9"/>
    </row>
    <row r="9" customFormat="false" ht="15" hidden="false" customHeight="false" outlineLevel="0" collapsed="false">
      <c r="A9" s="5" t="s">
        <v>134</v>
      </c>
      <c r="B9" s="26" t="n">
        <f aca="false">(Hypothèses!$B$5*(1-Hypothèses!$B$7)+Hypothèses!$B$6/12*Hypothèses!$B$7)</f>
        <v>9.075</v>
      </c>
      <c r="C9" s="26" t="n">
        <f aca="false">(Hypothèses!$B$5*(1-Hypothèses!$B$7)+Hypothèses!$B$6/12*Hypothèses!$B$7)</f>
        <v>9.075</v>
      </c>
      <c r="D9" s="26" t="n">
        <f aca="false">(Hypothèses!$B$5*(1-Hypothèses!$B$7)+Hypothèses!$B$6/12*Hypothèses!$B$7)</f>
        <v>9.075</v>
      </c>
      <c r="E9" s="26" t="n">
        <f aca="false">(Hypothèses!$B$5*(1-Hypothèses!$B$7)+Hypothèses!$B$6/12*Hypothèses!$B$7)</f>
        <v>9.075</v>
      </c>
      <c r="F9" s="26" t="n">
        <f aca="false">(Hypothèses!$B$5*(1-Hypothèses!$B$7)+Hypothèses!$B$6/12*Hypothèses!$B$7)</f>
        <v>9.075</v>
      </c>
    </row>
    <row r="10" customFormat="false" ht="15" hidden="false" customHeight="false" outlineLevel="0" collapsed="false">
      <c r="A10" s="5" t="s">
        <v>135</v>
      </c>
      <c r="B10" s="23" t="n">
        <f aca="false">B4*B9</f>
        <v>9075</v>
      </c>
      <c r="C10" s="23" t="n">
        <f aca="false">C4*C9</f>
        <v>45375</v>
      </c>
      <c r="D10" s="23" t="n">
        <f aca="false">D4*D9</f>
        <v>181500</v>
      </c>
      <c r="E10" s="23" t="n">
        <f aca="false">E4*E9</f>
        <v>907500</v>
      </c>
      <c r="F10" s="23" t="n">
        <f aca="false">F4*F9</f>
        <v>4537500</v>
      </c>
    </row>
    <row r="11" customFormat="false" ht="15" hidden="false" customHeight="false" outlineLevel="0" collapsed="false">
      <c r="A11" s="5" t="s">
        <v>136</v>
      </c>
      <c r="B11" s="23" t="n">
        <f aca="false">-B10*Hypothèses!$B$8/(1+Hypothèses!$B$8)</f>
        <v>-1512.5</v>
      </c>
      <c r="C11" s="23" t="n">
        <f aca="false">-C10*Hypothèses!$B$8/(1+Hypothèses!$B$8)</f>
        <v>-7562.5</v>
      </c>
      <c r="D11" s="23" t="n">
        <f aca="false">-D10*Hypothèses!$B$8/(1+Hypothèses!$B$8)</f>
        <v>-30250</v>
      </c>
      <c r="E11" s="23" t="n">
        <f aca="false">-E10*Hypothèses!$B$8/(1+Hypothèses!$B$8)</f>
        <v>-151250</v>
      </c>
      <c r="F11" s="23" t="n">
        <f aca="false">-F10*Hypothèses!$B$8/(1+Hypothèses!$B$8)</f>
        <v>-756250</v>
      </c>
    </row>
    <row r="12" customFormat="false" ht="15" hidden="false" customHeight="false" outlineLevel="0" collapsed="false">
      <c r="A12" s="7" t="s">
        <v>137</v>
      </c>
      <c r="B12" s="22" t="n">
        <f aca="false">B10+B11</f>
        <v>7562.5</v>
      </c>
      <c r="C12" s="22" t="n">
        <f aca="false">C10+C11</f>
        <v>37812.5</v>
      </c>
      <c r="D12" s="22" t="n">
        <f aca="false">D10+D11</f>
        <v>151250</v>
      </c>
      <c r="E12" s="22" t="n">
        <f aca="false">E10+E11</f>
        <v>756250</v>
      </c>
      <c r="F12" s="22" t="n">
        <f aca="false">F10+F11</f>
        <v>3781250</v>
      </c>
    </row>
    <row r="13" customFormat="false" ht="15" hidden="false" customHeight="false" outlineLevel="0" collapsed="false">
      <c r="A13" s="5" t="s">
        <v>138</v>
      </c>
      <c r="B13" s="23" t="n">
        <f aca="false">-(B10*Hypothèses!$B$9+B4*((1-Hypothèses!$B$7)*1+Hypothèses!$B$7/12)*Hypothèses!$B$10)</f>
        <v>-271.541666666667</v>
      </c>
      <c r="C13" s="23" t="n">
        <f aca="false">-(C10*Hypothèses!$B$9+C4*((1-Hypothèses!$B$7)*1+Hypothèses!$B$7/12)*Hypothèses!$B$10)</f>
        <v>-1357.70833333333</v>
      </c>
      <c r="D13" s="23" t="n">
        <f aca="false">-(D10*Hypothèses!$B$9+D4*((1-Hypothèses!$B$7)*1+Hypothèses!$B$7/12)*Hypothèses!$B$10)</f>
        <v>-5430.83333333333</v>
      </c>
      <c r="E13" s="23" t="n">
        <f aca="false">-(E10*Hypothèses!$B$9+E4*((1-Hypothèses!$B$7)*1+Hypothèses!$B$7/12)*Hypothèses!$B$10)</f>
        <v>-27154.1666666667</v>
      </c>
      <c r="F13" s="23" t="n">
        <f aca="false">-(F10*Hypothèses!$B$9+F4*((1-Hypothèses!$B$7)*1+Hypothèses!$B$7/12)*Hypothèses!$B$10)</f>
        <v>-135770.833333333</v>
      </c>
    </row>
    <row r="14" customFormat="false" ht="15" hidden="false" customHeight="false" outlineLevel="0" collapsed="false">
      <c r="A14" s="7" t="s">
        <v>139</v>
      </c>
      <c r="B14" s="22" t="n">
        <f aca="false">B12+B13</f>
        <v>7290.95833333333</v>
      </c>
      <c r="C14" s="22" t="n">
        <f aca="false">C12+C13</f>
        <v>36454.7916666667</v>
      </c>
      <c r="D14" s="22" t="n">
        <f aca="false">D12+D13</f>
        <v>145819.166666667</v>
      </c>
      <c r="E14" s="22" t="n">
        <f aca="false">E12+E13</f>
        <v>729095.833333333</v>
      </c>
      <c r="F14" s="22" t="n">
        <f aca="false">F12+F13</f>
        <v>3645479.16666667</v>
      </c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</row>
    <row r="16" customFormat="false" ht="15" hidden="false" customHeight="false" outlineLevel="0" collapsed="false">
      <c r="A16" s="4" t="s">
        <v>113</v>
      </c>
      <c r="B16" s="9"/>
      <c r="C16" s="9"/>
      <c r="D16" s="9"/>
      <c r="E16" s="9"/>
      <c r="F16" s="9"/>
    </row>
    <row r="17" customFormat="false" ht="15" hidden="false" customHeight="false" outlineLevel="0" collapsed="false">
      <c r="A17" s="5" t="s">
        <v>140</v>
      </c>
      <c r="B17" s="23" t="n">
        <f aca="false">-(B4*Hypothèses!$B$14+B5*Hypothèses!$B$15)</f>
        <v>-50</v>
      </c>
      <c r="C17" s="23" t="n">
        <f aca="false">-(C4*Hypothèses!$B$14+C5*Hypothèses!$B$15)</f>
        <v>-250</v>
      </c>
      <c r="D17" s="23" t="n">
        <f aca="false">-(D4*Hypothèses!$B$14+D5*Hypothèses!$B$15)</f>
        <v>-1000</v>
      </c>
      <c r="E17" s="23" t="n">
        <f aca="false">-(E4*Hypothèses!$B$14+E5*Hypothèses!$B$15)</f>
        <v>-5000</v>
      </c>
      <c r="F17" s="23" t="n">
        <f aca="false">-(F4*Hypothèses!$B$14+F5*Hypothèses!$B$15)</f>
        <v>-25000</v>
      </c>
    </row>
    <row r="18" customFormat="false" ht="15" hidden="false" customHeight="false" outlineLevel="0" collapsed="false">
      <c r="A18" s="5" t="s">
        <v>141</v>
      </c>
      <c r="B18" s="23" t="n">
        <f aca="false">-B4*Hypothèses!$B$17*Hypothèses!$B$18*Hypothèses!$B$16</f>
        <v>-780</v>
      </c>
      <c r="C18" s="23" t="n">
        <f aca="false">-C4*Hypothèses!$B$17*Hypothèses!$B$18*Hypothèses!$B$16</f>
        <v>-3900</v>
      </c>
      <c r="D18" s="23" t="n">
        <f aca="false">-D4*Hypothèses!$B$17*Hypothèses!$B$18*Hypothèses!$B$16</f>
        <v>-15600</v>
      </c>
      <c r="E18" s="23" t="n">
        <f aca="false">-E4*Hypothèses!$B$17*Hypothèses!$B$18*Hypothèses!$B$16</f>
        <v>-78000</v>
      </c>
      <c r="F18" s="23" t="n">
        <f aca="false">-F4*Hypothèses!$B$17*Hypothèses!$B$18*Hypothèses!$B$16</f>
        <v>-390000</v>
      </c>
    </row>
    <row r="19" customFormat="false" ht="15" hidden="false" customHeight="false" outlineLevel="0" collapsed="false">
      <c r="A19" s="5" t="s">
        <v>142</v>
      </c>
      <c r="B19" s="23" t="n">
        <f aca="false">-B6*(Hypothèses!$B$19+Hypothèses!$B$20)</f>
        <v>-270</v>
      </c>
      <c r="C19" s="23" t="n">
        <f aca="false">-C6*(Hypothèses!$B$19+Hypothèses!$B$20)</f>
        <v>-1350</v>
      </c>
      <c r="D19" s="23" t="n">
        <f aca="false">-D6*(Hypothèses!$B$19+Hypothèses!$B$20)</f>
        <v>-5400</v>
      </c>
      <c r="E19" s="23" t="n">
        <f aca="false">-E6*(Hypothèses!$B$19+Hypothèses!$B$20)</f>
        <v>-27000</v>
      </c>
      <c r="F19" s="23" t="n">
        <f aca="false">-F6*(Hypothèses!$B$19+Hypothèses!$B$20)</f>
        <v>-135000</v>
      </c>
    </row>
    <row r="20" customFormat="false" ht="15" hidden="false" customHeight="false" outlineLevel="0" collapsed="false">
      <c r="A20" s="5" t="s">
        <v>143</v>
      </c>
      <c r="B20" s="23" t="n">
        <f aca="false">-B4*Hypothèses!$B$12*Hypothèses!$B$21</f>
        <v>-600</v>
      </c>
      <c r="C20" s="23" t="n">
        <f aca="false">-C4*Hypothèses!$B$12*Hypothèses!$B$21</f>
        <v>-3000</v>
      </c>
      <c r="D20" s="23" t="n">
        <f aca="false">-D4*Hypothèses!$B$12*Hypothèses!$B$21</f>
        <v>-12000</v>
      </c>
      <c r="E20" s="23" t="n">
        <f aca="false">-E4*Hypothèses!$B$12*Hypothèses!$B$21</f>
        <v>-60000</v>
      </c>
      <c r="F20" s="23" t="n">
        <f aca="false">-F4*Hypothèses!$B$12*Hypothèses!$B$21</f>
        <v>-300000</v>
      </c>
    </row>
    <row r="21" customFormat="false" ht="15" hidden="false" customHeight="false" outlineLevel="0" collapsed="false">
      <c r="A21" s="7" t="s">
        <v>118</v>
      </c>
      <c r="B21" s="22" t="n">
        <f aca="false">SUM(B17:B20)</f>
        <v>-1700</v>
      </c>
      <c r="C21" s="22" t="n">
        <f aca="false">SUM(C17:C20)</f>
        <v>-8500</v>
      </c>
      <c r="D21" s="22" t="n">
        <f aca="false">SUM(D17:D20)</f>
        <v>-34000</v>
      </c>
      <c r="E21" s="22" t="n">
        <f aca="false">SUM(E17:E20)</f>
        <v>-170000</v>
      </c>
      <c r="F21" s="22" t="n">
        <f aca="false">SUM(F17:F20)</f>
        <v>-850000</v>
      </c>
    </row>
    <row r="22" customFormat="false" ht="15" hidden="false" customHeight="false" outlineLevel="0" collapsed="false">
      <c r="A22" s="7" t="s">
        <v>144</v>
      </c>
      <c r="B22" s="22" t="n">
        <f aca="false">B14+B21</f>
        <v>5590.95833333333</v>
      </c>
      <c r="C22" s="22" t="n">
        <f aca="false">C14+C21</f>
        <v>27954.7916666667</v>
      </c>
      <c r="D22" s="22" t="n">
        <f aca="false">D14+D21</f>
        <v>111819.166666667</v>
      </c>
      <c r="E22" s="22" t="n">
        <f aca="false">E14+E21</f>
        <v>559095.833333333</v>
      </c>
      <c r="F22" s="22" t="n">
        <f aca="false">F14+F21</f>
        <v>2795479.16666667</v>
      </c>
    </row>
    <row r="23" customFormat="false" ht="15" hidden="false" customHeight="false" outlineLevel="0" collapsed="false">
      <c r="A23" s="5" t="s">
        <v>145</v>
      </c>
      <c r="B23" s="28" t="n">
        <f aca="false">IF(B12=0,0,B22/B12)</f>
        <v>0.739300275482094</v>
      </c>
      <c r="C23" s="28" t="n">
        <f aca="false">IF(C12=0,0,C22/C12)</f>
        <v>0.739300275482094</v>
      </c>
      <c r="D23" s="28" t="n">
        <f aca="false">IF(D12=0,0,D22/D12)</f>
        <v>0.739300275482094</v>
      </c>
      <c r="E23" s="28" t="n">
        <f aca="false">IF(E12=0,0,E22/E12)</f>
        <v>0.739300275482094</v>
      </c>
      <c r="F23" s="28" t="n">
        <f aca="false">IF(F12=0,0,F22/F12)</f>
        <v>0.739300275482094</v>
      </c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4" t="s">
        <v>119</v>
      </c>
      <c r="B25" s="9"/>
      <c r="C25" s="9"/>
      <c r="D25" s="9"/>
      <c r="E25" s="9"/>
      <c r="F25" s="9"/>
    </row>
    <row r="26" customFormat="false" ht="15" hidden="false" customHeight="false" outlineLevel="0" collapsed="false">
      <c r="A26" s="5" t="s">
        <v>56</v>
      </c>
      <c r="B26" s="24" t="n">
        <f aca="false">-Hypothèses!B$24</f>
        <v>-60</v>
      </c>
      <c r="C26" s="24" t="n">
        <f aca="false">-Hypothèses!C$24</f>
        <v>-180</v>
      </c>
      <c r="D26" s="24" t="n">
        <f aca="false">-Hypothèses!D$24</f>
        <v>-600</v>
      </c>
      <c r="E26" s="24" t="n">
        <f aca="false">-Hypothèses!E$24</f>
        <v>-2500</v>
      </c>
      <c r="F26" s="24" t="n">
        <f aca="false">-Hypothèses!F$24</f>
        <v>-9000</v>
      </c>
    </row>
    <row r="27" customFormat="false" ht="15" hidden="false" customHeight="false" outlineLevel="0" collapsed="false">
      <c r="A27" s="5" t="s">
        <v>58</v>
      </c>
      <c r="B27" s="24" t="n">
        <f aca="false">-Hypothèses!B$25</f>
        <v>-0</v>
      </c>
      <c r="C27" s="24" t="n">
        <f aca="false">-Hypothèses!C$25</f>
        <v>-6000</v>
      </c>
      <c r="D27" s="24" t="n">
        <f aca="false">-Hypothèses!D$25</f>
        <v>-18000</v>
      </c>
      <c r="E27" s="24" t="n">
        <f aca="false">-Hypothèses!E$25</f>
        <v>-60000</v>
      </c>
      <c r="F27" s="24" t="n">
        <f aca="false">-Hypothèses!F$25</f>
        <v>-180000</v>
      </c>
    </row>
    <row r="28" customFormat="false" ht="15" hidden="false" customHeight="false" outlineLevel="0" collapsed="false">
      <c r="A28" s="5" t="s">
        <v>60</v>
      </c>
      <c r="B28" s="24" t="n">
        <f aca="false">-Hypothèses!B$26</f>
        <v>-0</v>
      </c>
      <c r="C28" s="24" t="n">
        <f aca="false">-Hypothèses!C$26</f>
        <v>-2000</v>
      </c>
      <c r="D28" s="24" t="n">
        <f aca="false">-Hypothèses!D$26</f>
        <v>-7000</v>
      </c>
      <c r="E28" s="24" t="n">
        <f aca="false">-Hypothèses!E$26</f>
        <v>-28000</v>
      </c>
      <c r="F28" s="24" t="n">
        <f aca="false">-Hypothèses!F$26</f>
        <v>-100000</v>
      </c>
    </row>
    <row r="29" customFormat="false" ht="15" hidden="false" customHeight="false" outlineLevel="0" collapsed="false">
      <c r="A29" s="5" t="s">
        <v>62</v>
      </c>
      <c r="B29" s="24" t="n">
        <f aca="false">-Hypothèses!B$27</f>
        <v>-500</v>
      </c>
      <c r="C29" s="24" t="n">
        <f aca="false">-Hypothèses!C$27</f>
        <v>-1000</v>
      </c>
      <c r="D29" s="24" t="n">
        <f aca="false">-Hypothèses!D$27</f>
        <v>-2500</v>
      </c>
      <c r="E29" s="24" t="n">
        <f aca="false">-Hypothèses!E$27</f>
        <v>-8000</v>
      </c>
      <c r="F29" s="24" t="n">
        <f aca="false">-Hypothèses!F$27</f>
        <v>-20000</v>
      </c>
    </row>
    <row r="30" customFormat="false" ht="15" hidden="false" customHeight="false" outlineLevel="0" collapsed="false">
      <c r="A30" s="5" t="s">
        <v>64</v>
      </c>
      <c r="B30" s="24" t="n">
        <f aca="false">-Hypothèses!B$28</f>
        <v>-100</v>
      </c>
      <c r="C30" s="24" t="n">
        <f aca="false">-Hypothèses!C$28</f>
        <v>-300</v>
      </c>
      <c r="D30" s="24" t="n">
        <f aca="false">-Hypothèses!D$28</f>
        <v>-800</v>
      </c>
      <c r="E30" s="24" t="n">
        <f aca="false">-Hypothèses!E$28</f>
        <v>-3000</v>
      </c>
      <c r="F30" s="24" t="n">
        <f aca="false">-Hypothèses!F$28</f>
        <v>-8000</v>
      </c>
    </row>
    <row r="31" customFormat="false" ht="15" hidden="false" customHeight="false" outlineLevel="0" collapsed="false">
      <c r="A31" s="5" t="s">
        <v>65</v>
      </c>
      <c r="B31" s="24" t="n">
        <f aca="false">-Hypothèses!B$29</f>
        <v>-500</v>
      </c>
      <c r="C31" s="24" t="n">
        <f aca="false">-Hypothèses!C$29</f>
        <v>-2000</v>
      </c>
      <c r="D31" s="24" t="n">
        <f aca="false">-Hypothèses!D$29</f>
        <v>-8000</v>
      </c>
      <c r="E31" s="24" t="n">
        <f aca="false">-Hypothèses!E$29</f>
        <v>-40000</v>
      </c>
      <c r="F31" s="24" t="n">
        <f aca="false">-Hypothèses!F$29</f>
        <v>-150000</v>
      </c>
    </row>
    <row r="32" customFormat="false" ht="15" hidden="false" customHeight="false" outlineLevel="0" collapsed="false">
      <c r="A32" s="7" t="s">
        <v>120</v>
      </c>
      <c r="B32" s="22" t="n">
        <f aca="false">SUM(B26:B31)</f>
        <v>-1160</v>
      </c>
      <c r="C32" s="22" t="n">
        <f aca="false">SUM(C26:C31)</f>
        <v>-11480</v>
      </c>
      <c r="D32" s="22" t="n">
        <f aca="false">SUM(D26:D31)</f>
        <v>-36900</v>
      </c>
      <c r="E32" s="22" t="n">
        <f aca="false">SUM(E26:E31)</f>
        <v>-141500</v>
      </c>
      <c r="F32" s="22" t="n">
        <f aca="false">SUM(F26:F31)</f>
        <v>-467000</v>
      </c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7" t="s">
        <v>146</v>
      </c>
      <c r="B34" s="25" t="n">
        <f aca="false">B22+B32</f>
        <v>4430.95833333333</v>
      </c>
      <c r="C34" s="25" t="n">
        <f aca="false">C22+C32</f>
        <v>16474.7916666667</v>
      </c>
      <c r="D34" s="25" t="n">
        <f aca="false">D22+D32</f>
        <v>74919.1666666667</v>
      </c>
      <c r="E34" s="25" t="n">
        <f aca="false">E22+E32</f>
        <v>417595.833333333</v>
      </c>
      <c r="F34" s="25" t="n">
        <f aca="false">F22+F32</f>
        <v>2328479.16666667</v>
      </c>
    </row>
    <row r="35" customFormat="false" ht="15" hidden="false" customHeight="false" outlineLevel="0" collapsed="false">
      <c r="A35" s="7" t="s">
        <v>147</v>
      </c>
      <c r="B35" s="22" t="n">
        <f aca="false">B34*12</f>
        <v>53171.5</v>
      </c>
      <c r="C35" s="22" t="n">
        <f aca="false">C34*12</f>
        <v>197697.5</v>
      </c>
      <c r="D35" s="22" t="n">
        <f aca="false">D34*12</f>
        <v>899030</v>
      </c>
      <c r="E35" s="22" t="n">
        <f aca="false">E34*12</f>
        <v>5011150</v>
      </c>
      <c r="F35" s="22" t="n">
        <f aca="false">F34*12</f>
        <v>27941750</v>
      </c>
    </row>
    <row r="36" customFormat="false" ht="15" hidden="false" customHeight="false" outlineLevel="0" collapsed="false">
      <c r="A36" s="5" t="s">
        <v>148</v>
      </c>
      <c r="B36" s="28" t="n">
        <f aca="false">IF(B12=0,0,B34/B12)</f>
        <v>0.585911845730028</v>
      </c>
      <c r="C36" s="28" t="n">
        <f aca="false">IF(C12=0,0,C34/C12)</f>
        <v>0.43569696969697</v>
      </c>
      <c r="D36" s="28" t="n">
        <f aca="false">IF(D12=0,0,D34/D12)</f>
        <v>0.495333333333333</v>
      </c>
      <c r="E36" s="28" t="n">
        <f aca="false">IF(E12=0,0,E34/E12)</f>
        <v>0.552192837465565</v>
      </c>
      <c r="F36" s="28" t="n">
        <f aca="false">IF(F12=0,0,F34/F12)</f>
        <v>0.615796143250689</v>
      </c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  <row r="38" customFormat="false" ht="15" hidden="false" customHeight="false" outlineLevel="0" collapsed="false">
      <c r="A38" s="4" t="s">
        <v>123</v>
      </c>
      <c r="B38" s="9"/>
      <c r="C38" s="9"/>
      <c r="D38" s="9"/>
      <c r="E38" s="9"/>
      <c r="F38" s="9"/>
    </row>
    <row r="39" customFormat="false" ht="15" hidden="false" customHeight="false" outlineLevel="0" collapsed="false">
      <c r="A39" s="5" t="s">
        <v>149</v>
      </c>
      <c r="B39" s="26" t="n">
        <f aca="false">IF(B4=0,0,B14/B4)</f>
        <v>7.29095833333333</v>
      </c>
      <c r="C39" s="26" t="n">
        <f aca="false">IF(C4=0,0,C14/C4)</f>
        <v>7.29095833333333</v>
      </c>
      <c r="D39" s="26" t="n">
        <f aca="false">IF(D4=0,0,D14/D4)</f>
        <v>7.29095833333333</v>
      </c>
      <c r="E39" s="26" t="n">
        <f aca="false">IF(E4=0,0,E14/E4)</f>
        <v>7.29095833333333</v>
      </c>
      <c r="F39" s="26" t="n">
        <f aca="false">IF(F4=0,0,F14/F4)</f>
        <v>7.29095833333333</v>
      </c>
    </row>
    <row r="40" customFormat="false" ht="15" hidden="false" customHeight="false" outlineLevel="0" collapsed="false">
      <c r="A40" s="5" t="s">
        <v>150</v>
      </c>
      <c r="B40" s="26" t="n">
        <f aca="false">IF(B4=0,0,-B21/B4)</f>
        <v>1.7</v>
      </c>
      <c r="C40" s="26" t="n">
        <f aca="false">IF(C4=0,0,-C21/C4)</f>
        <v>1.7</v>
      </c>
      <c r="D40" s="26" t="n">
        <f aca="false">IF(D4=0,0,-D21/D4)</f>
        <v>1.7</v>
      </c>
      <c r="E40" s="26" t="n">
        <f aca="false">IF(E4=0,0,-E21/E4)</f>
        <v>1.7</v>
      </c>
      <c r="F40" s="26" t="n">
        <f aca="false">IF(F4=0,0,-F21/F4)</f>
        <v>1.7</v>
      </c>
    </row>
    <row r="41" customFormat="false" ht="15" hidden="false" customHeight="false" outlineLevel="0" collapsed="false">
      <c r="A41" s="5" t="s">
        <v>151</v>
      </c>
      <c r="B41" s="19" t="n">
        <f aca="false">IF(B22=0,0,ROUNDUP(-B32/(B22/B4),0))</f>
        <v>208</v>
      </c>
      <c r="C41" s="19" t="n">
        <f aca="false">IF(C22=0,0,ROUNDUP(-C32/(C22/C4),0))</f>
        <v>2054</v>
      </c>
      <c r="D41" s="19" t="n">
        <f aca="false">IF(D22=0,0,ROUNDUP(-D32/(D22/D4),0))</f>
        <v>6600</v>
      </c>
      <c r="E41" s="19" t="n">
        <f aca="false">IF(E22=0,0,ROUNDUP(-E32/(E22/E4),0))</f>
        <v>25309</v>
      </c>
      <c r="F41" s="19" t="n">
        <f aca="false">IF(F22=0,0,ROUNDUP(-F32/(F22/F4),0))</f>
        <v>83528</v>
      </c>
    </row>
    <row r="42" customFormat="false" ht="15" hidden="false" customHeight="false" outlineLevel="0" collapsed="false">
      <c r="A42" s="5" t="s">
        <v>152</v>
      </c>
      <c r="B42" s="23" t="n">
        <f aca="false">B12*12</f>
        <v>90750</v>
      </c>
      <c r="C42" s="23" t="n">
        <f aca="false">C12*12</f>
        <v>453750</v>
      </c>
      <c r="D42" s="23" t="n">
        <f aca="false">D12*12</f>
        <v>1815000</v>
      </c>
      <c r="E42" s="23" t="n">
        <f aca="false">E12*12</f>
        <v>9075000</v>
      </c>
      <c r="F42" s="23" t="n">
        <f aca="false">F12*12</f>
        <v>45375000</v>
      </c>
    </row>
    <row r="43" customFormat="false" ht="15" hidden="false" customHeight="false" outlineLevel="0" collapsed="false">
      <c r="A43" s="5" t="s">
        <v>153</v>
      </c>
      <c r="B43" s="23" t="n">
        <f aca="false">IF(Hypothèses!$B$12=0,0,B14/B4/Hypothèses!$B$12)</f>
        <v>243.031944444444</v>
      </c>
      <c r="C43" s="23" t="n">
        <f aca="false">IF(Hypothèses!$B$12=0,0,C14/C4/Hypothèses!$B$12)</f>
        <v>243.031944444444</v>
      </c>
      <c r="D43" s="23" t="n">
        <f aca="false">IF(Hypothèses!$B$12=0,0,D14/D4/Hypothèses!$B$12)</f>
        <v>243.031944444444</v>
      </c>
      <c r="E43" s="23" t="n">
        <f aca="false">IF(Hypothèses!$B$12=0,0,E14/E4/Hypothèses!$B$12)</f>
        <v>243.031944444444</v>
      </c>
      <c r="F43" s="23" t="n">
        <f aca="false">IF(Hypothèses!$B$12=0,0,F14/F4/Hypothèses!$B$12)</f>
        <v>243.031944444444</v>
      </c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</row>
    <row r="45" customFormat="false" ht="15" hidden="false" customHeight="false" outlineLevel="0" collapsed="false">
      <c r="A45" s="3" t="s">
        <v>154</v>
      </c>
      <c r="B45" s="9"/>
      <c r="C45" s="9"/>
      <c r="D45" s="9"/>
      <c r="E45" s="9"/>
      <c r="F4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2026-10-28T13:13:27Z</dcterms:created>
  <dc:creator>openpyxl</dc:creator>
  <dc:description/>
  <dc:language>en-US</dc:language>
  <cp:lastModifiedBy/>
  <dcterms:modified xsi:type="dcterms:W3CDTF">2026-10-28T13:13:31Z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