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énarios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Lancement 3 mois" sheetId="3" state="visible" r:id="rId3"/>
    <sheet xmlns:r="http://schemas.openxmlformats.org/officeDocument/2006/relationships" name="Prévisionnel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&quot; €&quot;;\(#,##0&quot; €)&quot;;\-"/>
    <numFmt numFmtId="165" formatCode="#,##0.00&quot; €&quot;;\(#,##0.00&quot; €)&quot;;\-"/>
    <numFmt numFmtId="166" formatCode="0.0%;\(0.0%\);\-"/>
    <numFmt numFmtId="167" formatCode="#,##0;\(#,##0\);\-"/>
    <numFmt numFmtId="168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i val="1"/>
      <sz val="11"/>
    </font>
    <font>
      <name val="Arial"/>
      <charset val="1"/>
      <family val="0"/>
      <color rgb="FF555555"/>
      <sz val="9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8000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7" fontId="8" fillId="3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7" fontId="8" fillId="3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29" min="1" max="1"/>
    <col width="14" customWidth="1" style="29" min="2" max="6"/>
  </cols>
  <sheetData>
    <row r="1" ht="16.15" customHeight="1" s="30">
      <c r="A1" s="31" t="inlineStr">
        <is>
          <t>Lucien — résultat mensuel avant impôt selon les hypothèses (€)</t>
        </is>
      </c>
    </row>
    <row r="2" ht="15" customHeight="1" s="30">
      <c r="A2" s="32" t="inlineStr">
        <is>
          <t>Valeurs figées, calculées à partir de l'onglet Hypothèses. Pour rejouer un scénario, modifiez les cellules jaunes de cet onglet : le Prévisionnel se recalcule. L'onglet Lancement 3 mois donne la trésorerie des premiers mois.</t>
        </is>
      </c>
    </row>
    <row r="3"/>
    <row r="4" ht="15" customHeight="1" s="30">
      <c r="A4" s="33" t="inlineStr">
        <is>
          <t>Scénario</t>
        </is>
      </c>
      <c r="B4" s="33" t="inlineStr">
        <is>
          <t>1 000 abonnés</t>
        </is>
      </c>
      <c r="C4" s="33" t="inlineStr">
        <is>
          <t>5 000</t>
        </is>
      </c>
      <c r="D4" s="33" t="inlineStr">
        <is>
          <t>20 000</t>
        </is>
      </c>
      <c r="E4" s="33" t="inlineStr">
        <is>
          <t>100 000</t>
        </is>
      </c>
      <c r="F4" s="33" t="inlineStr">
        <is>
          <t>500 000</t>
        </is>
      </c>
    </row>
    <row r="5" ht="15" customHeight="1" s="30">
      <c r="A5" s="34" t="inlineStr">
        <is>
          <t>A — Solo / Duo / Tribu (30 / 50 / 20 %), hypothèses de base (Bridge au tarif public 1 €)</t>
        </is>
      </c>
      <c r="B5" s="35" t="n">
        <v>4278</v>
      </c>
      <c r="C5" s="35" t="n">
        <v>15710</v>
      </c>
      <c r="D5" s="35" t="n">
        <v>71859</v>
      </c>
      <c r="E5" s="35" t="n">
        <v>402294</v>
      </c>
      <c r="F5" s="35" t="n">
        <v>2251972</v>
      </c>
    </row>
    <row r="6" ht="15" customHeight="1" s="30">
      <c r="A6" s="34" t="inlineStr">
        <is>
          <t>B — même grille, Bridge négocié à 0,60 € par compte</t>
        </is>
      </c>
      <c r="B6" s="35" t="n">
        <v>4621</v>
      </c>
      <c r="C6" s="35" t="n">
        <v>17426</v>
      </c>
      <c r="D6" s="35" t="n">
        <v>78723</v>
      </c>
      <c r="E6" s="35" t="n">
        <v>436614</v>
      </c>
      <c r="F6" s="35" t="n">
        <v>2423572</v>
      </c>
    </row>
    <row r="7" ht="15" customHeight="1" s="30">
      <c r="A7" s="34" t="inlineStr">
        <is>
          <t>C — même grille, churn à 5 % par mois (pessimiste)</t>
        </is>
      </c>
      <c r="B7" s="35" t="n">
        <v>3878</v>
      </c>
      <c r="C7" s="35" t="n">
        <v>13710</v>
      </c>
      <c r="D7" s="35" t="n">
        <v>63859</v>
      </c>
      <c r="E7" s="35" t="n">
        <v>362294</v>
      </c>
      <c r="F7" s="35" t="n">
        <v>2051972</v>
      </c>
    </row>
    <row r="8" ht="15" customHeight="1" s="30">
      <c r="A8" s="34" t="inlineStr">
        <is>
          <t>D — même grille, 15 comptes gratuits par payant (conversion faible)</t>
        </is>
      </c>
      <c r="B8" s="35" t="n">
        <v>4068</v>
      </c>
      <c r="C8" s="35" t="n">
        <v>14660</v>
      </c>
      <c r="D8" s="35" t="n">
        <v>67659</v>
      </c>
      <c r="E8" s="35" t="n">
        <v>381294</v>
      </c>
      <c r="F8" s="35" t="n">
        <v>2146972</v>
      </c>
    </row>
    <row r="9" ht="15" customHeight="1" s="30">
      <c r="A9" s="34" t="inlineStr">
        <is>
          <t>E — pour mémoire : 4 € / 40 €, hypothèses de base</t>
        </is>
      </c>
      <c r="B9" s="35" t="n">
        <v>-73</v>
      </c>
      <c r="C9" s="35" t="n">
        <v>-6044</v>
      </c>
      <c r="D9" s="35" t="n">
        <v>-15157</v>
      </c>
      <c r="E9" s="35" t="n">
        <v>-32786</v>
      </c>
      <c r="F9" s="35" t="n">
        <v>76569</v>
      </c>
    </row>
    <row r="10"/>
    <row r="11" ht="15" customHeight="1" s="30">
      <c r="A11" s="36" t="inlineStr">
        <is>
          <t>Lecture</t>
        </is>
      </c>
    </row>
    <row r="12" ht="15" customHeight="1" s="30">
      <c r="A12" s="37" t="inlineStr">
        <is>
          <t>Avec la grille Solo 6,90 € / Duo 9,90 € / Tribu 13,90 € (mélange 30 / 50 / 20 %), le prix moyen est ≈ 9,80 € TTC et il reste ≈ 7,20 € nets par abonné après TVA et Stripe, pour ≈ 1,90 € de coûts variables (dont Bridge, plus élevé en Tribu). Le modèle est positif à tous les paliers, y compris au tarif public de Bridge.</t>
        </is>
      </c>
    </row>
    <row r="13" ht="15" customHeight="1" s="30">
      <c r="A13" s="37" t="inlineStr">
        <is>
          <t>Le seuil de rentabilité de chaque palier (couvrir l'équipe et le support prévus) est atteint avec 20 à 35 % des abonnés du palier.</t>
        </is>
      </c>
    </row>
    <row r="14" ht="15" customHeight="1" s="30">
      <c r="A14" s="37" t="inlineStr">
        <is>
          <t>Un abonné vaut ≈ 240 € nets sur sa durée de vie à 3 % de churn : un coût d'acquisition jusqu'à 60 à 80 € reste rentable.</t>
        </is>
      </c>
    </row>
    <row r="15" ht="15" customHeight="1" s="30">
      <c r="A15" s="37" t="inlineStr">
        <is>
          <t>Le gratuit coûte ≈ 2 centimes par compte et par mois (IA en modèle rapide au quota, stockage, push). 15 gratuits par payant restent supportables (scénario D).</t>
        </is>
      </c>
    </row>
    <row r="16" ht="15" customHeight="1" s="30">
      <c r="A16" s="37" t="inlineStr">
        <is>
          <t>Le risque principal est le churn : à 5 % par mois (scénario C), la valeur d'un abonné baisse d'un tiers. La rétention (économies réellement constatées) est le vrai moteur.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29" min="1" max="1"/>
    <col width="16" customWidth="1" style="29" min="2" max="6"/>
    <col width="60" customWidth="1" style="29" min="8" max="8"/>
  </cols>
  <sheetData>
    <row r="1" ht="16.15" customHeight="1" s="30">
      <c r="A1" s="31" t="inlineStr">
        <is>
          <t>Lucien — hypothèses du prévisionnel</t>
        </is>
      </c>
      <c r="B1" s="38" t="n"/>
      <c r="C1" s="38" t="n"/>
      <c r="D1" s="38" t="n"/>
      <c r="E1" s="38" t="n"/>
      <c r="F1" s="38" t="n"/>
      <c r="G1" s="38" t="n"/>
      <c r="H1" s="38" t="n"/>
    </row>
    <row r="2" ht="15" customHeight="1" s="30">
      <c r="A2" s="39" t="inlineStr">
        <is>
          <t>Cellules en bleu sur fond jaune : à modifier librement. Tout le reste se recalcule.</t>
        </is>
      </c>
      <c r="B2" s="38" t="n"/>
      <c r="C2" s="38" t="n"/>
      <c r="D2" s="38" t="n"/>
      <c r="E2" s="38" t="n"/>
      <c r="F2" s="38" t="n"/>
      <c r="G2" s="38" t="n"/>
      <c r="H2" s="38" t="n"/>
    </row>
    <row r="3" ht="15" customHeight="1" s="30">
      <c r="A3" s="38" t="n"/>
      <c r="B3" s="38" t="n"/>
      <c r="C3" s="38" t="n"/>
      <c r="D3" s="38" t="n"/>
      <c r="E3" s="38" t="n"/>
      <c r="F3" s="38" t="n"/>
      <c r="G3" s="38" t="n"/>
      <c r="H3" s="38" t="n"/>
    </row>
    <row r="4" ht="15" customHeight="1" s="30">
      <c r="A4" s="33" t="inlineStr">
        <is>
          <t>REVENUS</t>
        </is>
      </c>
      <c r="B4" s="38" t="n"/>
      <c r="C4" s="38" t="n"/>
      <c r="D4" s="38" t="n"/>
      <c r="E4" s="38" t="n"/>
      <c r="F4" s="38" t="n"/>
      <c r="G4" s="38" t="n"/>
      <c r="H4" s="38" t="n"/>
    </row>
    <row r="5" ht="15" customHeight="1" s="30">
      <c r="A5" s="38" t="inlineStr">
        <is>
          <t>Solo (1 personne) — prix mensuel TTC (€)</t>
        </is>
      </c>
      <c r="B5" s="40" t="n">
        <v>6.9</v>
      </c>
      <c r="C5" s="41" t="inlineStr">
        <is>
          <t>Grille du 29/10/2026 ; annuel = 10 × mensuel (69 €)</t>
        </is>
      </c>
      <c r="D5" s="38" t="n"/>
      <c r="E5" s="38" t="n"/>
      <c r="F5" s="38" t="n"/>
      <c r="G5" s="38" t="n"/>
      <c r="H5" s="38" t="n"/>
    </row>
    <row r="6" ht="15" customHeight="1" s="30">
      <c r="A6" s="38" t="inlineStr">
        <is>
          <t>Duo (2 personnes) — prix mensuel TTC (€)</t>
        </is>
      </c>
      <c r="B6" s="40" t="n">
        <v>9.9</v>
      </c>
      <c r="C6" s="41" t="inlineStr">
        <is>
          <t>Annuel 99 €</t>
        </is>
      </c>
      <c r="D6" s="38" t="n"/>
      <c r="E6" s="38" t="n"/>
      <c r="F6" s="38" t="n"/>
      <c r="G6" s="38" t="n"/>
      <c r="H6" s="38" t="n"/>
    </row>
    <row r="7" ht="15" customHeight="1" s="30">
      <c r="A7" s="38" t="inlineStr">
        <is>
          <t>Tribu (jusqu'à 6 personnes) — prix mensuel TTC (€)</t>
        </is>
      </c>
      <c r="B7" s="40" t="n">
        <v>13.9</v>
      </c>
      <c r="C7" s="41" t="inlineStr">
        <is>
          <t>Annuel 139 €</t>
        </is>
      </c>
      <c r="D7" s="38" t="n"/>
      <c r="E7" s="38" t="n"/>
      <c r="F7" s="38" t="n"/>
      <c r="G7" s="38" t="n"/>
      <c r="H7" s="38" t="n"/>
    </row>
    <row r="8" ht="15" customHeight="1" s="30">
      <c r="A8" s="38" t="inlineStr">
        <is>
          <t>Part des abonnés en Solo</t>
        </is>
      </c>
      <c r="B8" s="42" t="n">
        <v>0.3</v>
      </c>
      <c r="C8" s="41" t="inlineStr">
        <is>
          <t>Hypothèse : personnes seules et parents isolés</t>
        </is>
      </c>
      <c r="D8" s="38" t="n"/>
      <c r="E8" s="38" t="n"/>
      <c r="F8" s="38" t="n"/>
      <c r="G8" s="38" t="n"/>
      <c r="H8" s="38" t="n"/>
    </row>
    <row r="9" ht="15" customHeight="1" s="30">
      <c r="A9" s="38" t="inlineStr">
        <is>
          <t>Part des abonnés en Tribu</t>
        </is>
      </c>
      <c r="B9" s="42" t="n">
        <v>0.2</v>
      </c>
      <c r="C9" s="41" t="inlineStr">
        <is>
          <t>Hypothèse : familles avec ados ou grands-parents connectés ; le reste est en Duo</t>
        </is>
      </c>
      <c r="D9" s="38" t="n"/>
      <c r="E9" s="38" t="n"/>
      <c r="F9" s="38" t="n"/>
      <c r="G9" s="38" t="n"/>
      <c r="H9" s="38" t="n"/>
    </row>
    <row r="10" ht="15" customHeight="1" s="30">
      <c r="A10" s="38" t="inlineStr">
        <is>
          <t>Prix mensuel TTC (€)</t>
        </is>
      </c>
      <c r="B10" s="43">
        <f>Hypothèses!$B$5*Hypothèses!$B$8+Hypothèses!$B$7*Hypothèses!$B$9+Hypothèses!$B$6*(1-Hypothèses!$B$8-Hypothèses!$B$9)</f>
        <v/>
      </c>
      <c r="C10" s="41" t="inlineStr">
        <is>
          <t>Calculé : prix moyen pondéré par le mélange de formules</t>
        </is>
      </c>
      <c r="D10" s="38" t="n"/>
      <c r="E10" s="38" t="n"/>
      <c r="F10" s="38" t="n"/>
      <c r="G10" s="38" t="n"/>
      <c r="H10" s="38" t="n"/>
    </row>
    <row r="11" ht="15" customHeight="1" s="30">
      <c r="A11" s="38" t="inlineStr">
        <is>
          <t>Prix annuel TTC (€)</t>
        </is>
      </c>
      <c r="B11" s="43">
        <f>Hypothèses!$B$10*10</f>
        <v/>
      </c>
      <c r="C11" s="41" t="inlineStr">
        <is>
          <t>Calculé : 10 mois payés, 2 offerts</t>
        </is>
      </c>
      <c r="D11" s="38" t="n"/>
      <c r="E11" s="38" t="n"/>
      <c r="F11" s="38" t="n"/>
      <c r="G11" s="38" t="n"/>
      <c r="H11" s="38" t="n"/>
    </row>
    <row r="12" ht="15" customHeight="1" s="30">
      <c r="A12" s="38" t="inlineStr">
        <is>
          <t>Part des abonnés en formule annuelle</t>
        </is>
      </c>
      <c r="B12" s="42" t="n">
        <v>0.5</v>
      </c>
      <c r="C12" s="41" t="inlineStr">
        <is>
          <t>Hypothèse : moitié mensuel, moitié annuel</t>
        </is>
      </c>
      <c r="D12" s="38" t="n"/>
      <c r="E12" s="38" t="n"/>
      <c r="F12" s="38" t="n"/>
      <c r="G12" s="38" t="n"/>
      <c r="H12" s="38" t="n"/>
    </row>
    <row r="13" ht="15" customHeight="1" s="30">
      <c r="A13" s="38" t="inlineStr">
        <is>
          <t>TVA</t>
        </is>
      </c>
      <c r="B13" s="42" t="n">
        <v>0.2</v>
      </c>
      <c r="C13" s="41" t="inlineStr">
        <is>
          <t>Service numérique en France : 20 %</t>
        </is>
      </c>
      <c r="D13" s="38" t="n"/>
      <c r="E13" s="38" t="n"/>
      <c r="F13" s="38" t="n"/>
      <c r="G13" s="38" t="n"/>
      <c r="H13" s="38" t="n"/>
    </row>
    <row r="14" ht="15" customHeight="1" s="30">
      <c r="A14" s="38" t="inlineStr">
        <is>
          <t>Commission moyenne de paiement (Stripe), % du TTC</t>
        </is>
      </c>
      <c r="B14" s="42" t="n">
        <v>0.015</v>
      </c>
      <c r="C14" s="41" t="inlineStr">
        <is>
          <t>Cartes européennes ≈ 1,5 % + 0,25 € ; les stores (Apple/Google) prendraient 15 à 30 % : à éviter, paiement web</t>
        </is>
      </c>
      <c r="D14" s="38" t="n"/>
      <c r="E14" s="38" t="n"/>
      <c r="F14" s="38" t="n"/>
      <c r="G14" s="38" t="n"/>
      <c r="H14" s="38" t="n"/>
    </row>
    <row r="15" ht="15" customHeight="1" s="30">
      <c r="A15" s="38" t="inlineStr">
        <is>
          <t>Frais fixes par transaction (€)</t>
        </is>
      </c>
      <c r="B15" s="40" t="n">
        <v>0.25</v>
      </c>
      <c r="C15" s="41" t="inlineStr">
        <is>
          <t>Stripe, par paiement ; un abonné annuel paie 1 fois par an, un mensuel 12 fois</t>
        </is>
      </c>
      <c r="D15" s="38" t="n"/>
      <c r="E15" s="38" t="n"/>
      <c r="F15" s="38" t="n"/>
      <c r="G15" s="38" t="n"/>
      <c r="H15" s="38" t="n"/>
    </row>
    <row r="16" ht="15" customHeight="1" s="30">
      <c r="A16" s="38" t="inlineStr">
        <is>
          <t>Utilisateurs gratuits par abonné payant</t>
        </is>
      </c>
      <c r="B16" s="44" t="n">
        <v>8</v>
      </c>
      <c r="C16" s="41" t="inlineStr">
        <is>
          <t>Hypothèse de conversion ≈ 11 % (1 payant pour 9 comptes). À vérifier après lancement</t>
        </is>
      </c>
      <c r="D16" s="38" t="n"/>
      <c r="E16" s="38" t="n"/>
      <c r="F16" s="38" t="n"/>
      <c r="G16" s="38" t="n"/>
      <c r="H16" s="38" t="n"/>
    </row>
    <row r="17" ht="15" customHeight="1" s="30">
      <c r="A17" s="38" t="inlineStr">
        <is>
          <t>Churn mensuel des abonnés</t>
        </is>
      </c>
      <c r="B17" s="42" t="n">
        <v>0.03</v>
      </c>
      <c r="C17" s="41" t="inlineStr">
        <is>
          <t>3 % par mois : ordre de grandeur des applis grand public bien notées</t>
        </is>
      </c>
      <c r="D17" s="38" t="n"/>
      <c r="E17" s="38" t="n"/>
      <c r="F17" s="38" t="n"/>
      <c r="G17" s="38" t="n"/>
      <c r="H17" s="38" t="n"/>
    </row>
    <row r="18" ht="15" customHeight="1" s="30">
      <c r="A18" s="33" t="inlineStr">
        <is>
          <t>COÛTS VARIABLES (par foyer et par mois)</t>
        </is>
      </c>
      <c r="B18" s="38" t="n"/>
      <c r="C18" s="38" t="n"/>
      <c r="D18" s="38" t="n"/>
      <c r="E18" s="38" t="n"/>
      <c r="F18" s="38" t="n"/>
      <c r="G18" s="38" t="n"/>
      <c r="H18" s="38" t="n"/>
    </row>
    <row r="19" ht="15" customHeight="1" s="30">
      <c r="A19" s="38" t="inlineStr">
        <is>
          <t>IA — extraction de documents, foyer payant (€)</t>
        </is>
      </c>
      <c r="B19" s="40" t="n">
        <v>0.05</v>
      </c>
      <c r="C19" s="41" t="inlineStr">
        <is>
          <t>≈ 5 documents/mois : modèle rapide (Haiku ≈ 0,5 c) avec repli sur le modèle précis (Sonnet ≈ 2 c) pour 15 % des documents, + catégorisation bancaire + courriers</t>
        </is>
      </c>
      <c r="D19" s="38" t="n"/>
      <c r="E19" s="38" t="n"/>
      <c r="F19" s="38" t="n"/>
      <c r="G19" s="38" t="n"/>
      <c r="H19" s="38" t="n"/>
    </row>
    <row r="20" ht="15" customHeight="1" s="30">
      <c r="A20" s="38" t="inlineStr">
        <is>
          <t>IA — foyer gratuit (€)</t>
        </is>
      </c>
      <c r="B20" s="40" t="n">
        <v>0</v>
      </c>
      <c r="C20" s="41" t="inlineStr">
        <is>
          <t>Gratuit nu : lecture locale sans IA, pas d'import de relevés ni de banque. 0 € d'IA (NIDOU_IA_LECTURES_GRATUIT=0 ; un quota rouvrable plus tard reste plafonné par NIDOU_IA_PLAFOND_GRATUIT_EUR)</t>
        </is>
      </c>
      <c r="D20" s="38" t="n"/>
      <c r="E20" s="38" t="n"/>
      <c r="F20" s="38" t="n"/>
      <c r="G20" s="38" t="n"/>
      <c r="H20" s="38" t="n"/>
    </row>
    <row r="21" ht="15" customHeight="1" s="30">
      <c r="A21" s="38" t="inlineStr">
        <is>
          <t>Agrégation bancaire Bridge, par compte connecté (€)</t>
        </is>
      </c>
      <c r="B21" s="40" t="n">
        <v>1</v>
      </c>
      <c r="C21" s="41" t="inlineStr">
        <is>
          <t>Tarif public indicatif 0,5 à 2 € par compte et par mois ; à négocier au volume</t>
        </is>
      </c>
      <c r="D21" s="38" t="n"/>
      <c r="E21" s="38" t="n"/>
      <c r="F21" s="38" t="n"/>
      <c r="G21" s="38" t="n"/>
      <c r="H21" s="38" t="n"/>
    </row>
    <row r="22" ht="15" customHeight="1" s="30">
      <c r="A22" s="38" t="inlineStr">
        <is>
          <t>Part des abonnés qui connectent leur banque</t>
        </is>
      </c>
      <c r="B22" s="42" t="n">
        <v>0.6</v>
      </c>
      <c r="C22" s="41" t="inlineStr">
        <is>
          <t>Hypothèse</t>
        </is>
      </c>
      <c r="D22" s="38" t="n"/>
      <c r="E22" s="38" t="n"/>
      <c r="F22" s="38" t="n"/>
      <c r="G22" s="38" t="n"/>
      <c r="H22" s="38" t="n"/>
    </row>
    <row r="23" ht="15" customHeight="1" s="30">
      <c r="A23" s="38" t="inlineStr">
        <is>
          <t>Nombre de comptes connectés par foyer connecté</t>
        </is>
      </c>
      <c r="B23" s="45">
        <f>1.1*Hypothèses!$B$8+2*Hypothèses!$B$9+1.4*(1-Hypothèses!$B$8-Hypothèses!$B$9)</f>
        <v/>
      </c>
      <c r="C23" s="41" t="inlineStr">
        <is>
          <t>Calculé : 1,1 compte en Solo, 1,4 en Duo (compte joint + un perso), 2 en Tribu</t>
        </is>
      </c>
      <c r="D23" s="38" t="n"/>
      <c r="E23" s="38" t="n"/>
      <c r="F23" s="38" t="n"/>
      <c r="G23" s="38" t="n"/>
      <c r="H23" s="38" t="n"/>
    </row>
    <row r="24" ht="15" customHeight="1" s="30">
      <c r="A24" s="38" t="inlineStr">
        <is>
          <t>Stockage et bande passante, tous foyers (€)</t>
        </is>
      </c>
      <c r="B24" s="40" t="n">
        <v>0.01</v>
      </c>
      <c r="C24" s="41" t="inlineStr">
        <is>
          <t>OVH Object Storage ≈ 0,01 €/Go ; 50 documents × 2 Mo = 0,1 Go par foyer</t>
        </is>
      </c>
      <c r="D24" s="38" t="n"/>
      <c r="E24" s="38" t="n"/>
      <c r="F24" s="38" t="n"/>
      <c r="G24" s="38" t="n"/>
      <c r="H24" s="38" t="n"/>
    </row>
    <row r="25" ht="15" customHeight="1" s="30">
      <c r="A25" s="38" t="inlineStr">
        <is>
          <t>Emails et notifications push (€)</t>
        </is>
      </c>
      <c r="B25" s="40" t="n">
        <v>0.02</v>
      </c>
      <c r="C25" s="41" t="inlineStr">
        <is>
          <t>Payants : push + email (Brevo). Gratuits : push seulement, donc ≈ 0 ; la moyenne tous foyers est surestimée ici par prudence</t>
        </is>
      </c>
      <c r="D25" s="38" t="n"/>
      <c r="E25" s="38" t="n"/>
      <c r="F25" s="38" t="n"/>
      <c r="G25" s="38" t="n"/>
      <c r="H25" s="38" t="n"/>
    </row>
    <row r="26" ht="15" customHeight="1" s="30">
      <c r="A26" s="38" t="inlineStr">
        <is>
          <t>Coût d'acquisition d'un abonné payant (€)</t>
        </is>
      </c>
      <c r="B26" s="40" t="n">
        <v>20</v>
      </c>
      <c r="C26" s="41" t="inlineStr">
        <is>
          <t>Mix parrainage + publicité (15 €) + le coût de l'essai inversé des inscrits non convertis (≈ 5 € par payant gagné, voir onglet Lancement) ; dépensé pour remplacer le churn</t>
        </is>
      </c>
      <c r="D26" s="38" t="n"/>
      <c r="E26" s="38" t="n"/>
      <c r="F26" s="38" t="n"/>
      <c r="G26" s="38" t="n"/>
      <c r="H26" s="38" t="n"/>
    </row>
    <row r="27" ht="15" customHeight="1" s="30">
      <c r="A27" s="33" t="inlineStr">
        <is>
          <t>COÛTS FIXES PAR PALIER (€ / mois)</t>
        </is>
      </c>
      <c r="B27" s="38" t="n"/>
      <c r="C27" s="38" t="n"/>
      <c r="D27" s="38" t="n"/>
      <c r="E27" s="38" t="n"/>
      <c r="F27" s="38" t="n"/>
      <c r="G27" s="38" t="n"/>
      <c r="H27" s="38" t="n"/>
    </row>
    <row r="28" ht="15" customHeight="1" s="30">
      <c r="A28" s="36" t="inlineStr">
        <is>
          <t>Abonnés payants (palier)</t>
        </is>
      </c>
      <c r="B28" s="44" t="n">
        <v>1000</v>
      </c>
      <c r="C28" s="44" t="n">
        <v>5000</v>
      </c>
      <c r="D28" s="44" t="n">
        <v>20000</v>
      </c>
      <c r="E28" s="44" t="n">
        <v>100000</v>
      </c>
      <c r="F28" s="44" t="n">
        <v>500000</v>
      </c>
      <c r="G28" s="38" t="n"/>
      <c r="H28" s="38" t="n"/>
    </row>
    <row r="29" ht="15" customHeight="1" s="30">
      <c r="A29" s="38" t="inlineStr">
        <is>
          <t>Hébergement OVH (serveurs, base, sauvegardes)</t>
        </is>
      </c>
      <c r="B29" s="46" t="n">
        <v>60</v>
      </c>
      <c r="C29" s="46" t="n">
        <v>180</v>
      </c>
      <c r="D29" s="46" t="n">
        <v>600</v>
      </c>
      <c r="E29" s="46" t="n">
        <v>2500</v>
      </c>
      <c r="F29" s="46" t="n">
        <v>9000</v>
      </c>
      <c r="G29" s="38" t="n"/>
      <c r="H29" s="41" t="inlineStr">
        <is>
          <t>VPS puis instances Public Cloud + base managée ; France</t>
        </is>
      </c>
    </row>
    <row r="30" ht="15" customHeight="1" s="30">
      <c r="A30" s="38" t="inlineStr">
        <is>
          <t>Équipe technique (salaires chargés)</t>
        </is>
      </c>
      <c r="B30" s="46" t="n">
        <v>0</v>
      </c>
      <c r="C30" s="46" t="n">
        <v>6000</v>
      </c>
      <c r="D30" s="46" t="n">
        <v>18000</v>
      </c>
      <c r="E30" s="46" t="n">
        <v>60000</v>
      </c>
      <c r="F30" s="46" t="n">
        <v>180000</v>
      </c>
      <c r="G30" s="38" t="n"/>
      <c r="H30" s="41" t="inlineStr">
        <is>
          <t>0 : fondateur + Claude ; puis 1, 3, 10, 30 personnes à 6 000 € chargés</t>
        </is>
      </c>
    </row>
    <row r="31" ht="15" customHeight="1" s="30">
      <c r="A31" s="38" t="inlineStr">
        <is>
          <t>Support client</t>
        </is>
      </c>
      <c r="B31" s="46" t="n">
        <v>0</v>
      </c>
      <c r="C31" s="46" t="n">
        <v>2000</v>
      </c>
      <c r="D31" s="46" t="n">
        <v>7000</v>
      </c>
      <c r="E31" s="46" t="n">
        <v>28000</v>
      </c>
      <c r="F31" s="46" t="n">
        <v>100000</v>
      </c>
      <c r="G31" s="38" t="n"/>
      <c r="H31" s="41" t="inlineStr">
        <is>
          <t>0,5 puis 2, 8, 30 personnes à 3 500 € chargés ; 1 agent pour ~2 500 à 5 000 payants</t>
        </is>
      </c>
    </row>
    <row r="32" ht="15" customHeight="1" s="30">
      <c r="A32" s="38" t="inlineStr">
        <is>
          <t>Juridique, comptable, assurance, banque</t>
        </is>
      </c>
      <c r="B32" s="46" t="n">
        <v>500</v>
      </c>
      <c r="C32" s="46" t="n">
        <v>1000</v>
      </c>
      <c r="D32" s="46" t="n">
        <v>2500</v>
      </c>
      <c r="E32" s="46" t="n">
        <v>8000</v>
      </c>
      <c r="F32" s="46" t="n">
        <v>20000</v>
      </c>
      <c r="G32" s="38" t="n"/>
      <c r="H32" s="41" t="inlineStr">
        <is>
          <t>Expert-comptable, RGPD, CGV, RC pro</t>
        </is>
      </c>
    </row>
    <row r="33" ht="15" customHeight="1" s="30">
      <c r="A33" s="38" t="inlineStr">
        <is>
          <t>Outils et licences (Stripe hors commissions, Brevo, monitoring, domaine)</t>
        </is>
      </c>
      <c r="B33" s="46" t="n">
        <v>100</v>
      </c>
      <c r="C33" s="46" t="n">
        <v>300</v>
      </c>
      <c r="D33" s="46" t="n">
        <v>800</v>
      </c>
      <c r="E33" s="46" t="n">
        <v>3000</v>
      </c>
      <c r="F33" s="46" t="n">
        <v>8000</v>
      </c>
      <c r="G33" s="38" t="n"/>
      <c r="H33" s="41" t="n"/>
    </row>
    <row r="34" ht="15" customHeight="1" s="30">
      <c r="A34" s="38" t="inlineStr">
        <is>
          <t>Marketing de marque (hors acquisition payante)</t>
        </is>
      </c>
      <c r="B34" s="46" t="n">
        <v>500</v>
      </c>
      <c r="C34" s="46" t="n">
        <v>2000</v>
      </c>
      <c r="D34" s="46" t="n">
        <v>8000</v>
      </c>
      <c r="E34" s="46" t="n">
        <v>40000</v>
      </c>
      <c r="F34" s="46" t="n">
        <v>150000</v>
      </c>
      <c r="G34" s="38" t="n"/>
      <c r="H34" s="41" t="inlineStr">
        <is>
          <t>Contenu, RP, partenariats</t>
        </is>
      </c>
    </row>
    <row r="35" ht="15" customHeight="1" s="30">
      <c r="A35" s="38" t="n"/>
      <c r="B35" s="38" t="n"/>
      <c r="C35" s="38" t="n"/>
      <c r="D35" s="38" t="n"/>
      <c r="E35" s="38" t="n"/>
      <c r="F35" s="38" t="n"/>
      <c r="G35" s="38" t="n"/>
      <c r="H35" s="38" t="n"/>
    </row>
    <row r="36" ht="15" customHeight="1" s="30">
      <c r="A36" s="32" t="inlineStr">
        <is>
          <t>Sources : prix Stripe et Bridge d'après leurs grilles publiques (ordres de grandeur, à confirmer par devis) ; coûts IA estimés d'après la consommation du prototype ; salaires chargés France. Tous les autres chiffres sont des hypothèses de travail.</t>
        </is>
      </c>
      <c r="B36" s="38" t="n"/>
      <c r="C36" s="38" t="n"/>
      <c r="D36" s="38" t="n"/>
      <c r="E36" s="38" t="n"/>
      <c r="F36" s="38" t="n"/>
      <c r="G36" s="38" t="n"/>
      <c r="H36" s="3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0" customWidth="1" style="29" min="1" max="1"/>
    <col width="15" customWidth="1" style="29" min="2" max="5"/>
    <col width="70" customWidth="1" style="29" min="6" max="6"/>
  </cols>
  <sheetData>
    <row r="1" ht="16.15" customHeight="1" s="30">
      <c r="A1" s="31" t="inlineStr">
        <is>
          <t>Lucien — lancement : ce que coûtent les 3 premiers mois</t>
        </is>
      </c>
    </row>
    <row r="2" ht="15" customHeight="1" s="30">
      <c r="A2" s="32" t="inlineStr">
        <is>
          <t>Cellules bleues sur fond jaune : modifiables. Hypothèses de coût unitaire reprises de l'onglet Hypothèses (vert).</t>
        </is>
      </c>
    </row>
    <row r="3"/>
    <row r="4" ht="15" customHeight="1" s="30">
      <c r="A4" s="33" t="inlineStr">
        <is>
          <t>HYPOTHÈSES DE LANCEMENT</t>
        </is>
      </c>
    </row>
    <row r="5" ht="15" customHeight="1" s="30">
      <c r="A5" s="34" t="inlineStr">
        <is>
          <t>Inscriptions nouvelles par mois</t>
        </is>
      </c>
      <c r="B5" s="44" t="n">
        <v>500</v>
      </c>
      <c r="C5" s="44" t="n">
        <v>1500</v>
      </c>
      <c r="D5" s="44" t="n">
        <v>4000</v>
      </c>
      <c r="F5" s="41" t="inlineStr">
        <is>
          <t>Liste d'attente, bouche-à-oreille, premiers partages ; sans publicité payante</t>
        </is>
      </c>
    </row>
    <row r="6" ht="15" customHeight="1" s="30">
      <c r="A6" s="34" t="inlineStr">
        <is>
          <t>Part des inscrits qui convertissent en payant à la fin de l'essai</t>
        </is>
      </c>
      <c r="B6" s="42" t="n">
        <v>0.08</v>
      </c>
      <c r="C6" s="42" t="n">
        <v>0.08</v>
      </c>
      <c r="D6" s="42" t="n">
        <v>0.08</v>
      </c>
      <c r="F6" s="41" t="inlineStr">
        <is>
          <t>Essai inversé 15 jours sans carte, puis gratuit nu (sans IA ni banque) : 5 à 12 % selon les produits ; 8 % en hypothèse centrale</t>
        </is>
      </c>
    </row>
    <row r="7" ht="15" customHeight="1" s="30">
      <c r="A7" s="34" t="inlineStr">
        <is>
          <t>Churn mensuel des payants</t>
        </is>
      </c>
      <c r="B7" s="42" t="n">
        <v>0.03</v>
      </c>
      <c r="C7" s="42" t="n">
        <v>0.03</v>
      </c>
      <c r="D7" s="42" t="n">
        <v>0.03</v>
      </c>
      <c r="F7" s="41" t="n"/>
    </row>
    <row r="8" ht="15" customHeight="1" s="30">
      <c r="A8" s="34" t="inlineStr">
        <is>
          <t>Part des inscrits en essai qui connectent leur banque</t>
        </is>
      </c>
      <c r="B8" s="42" t="n">
        <v>0.5</v>
      </c>
      <c r="C8" s="42" t="n">
        <v>0.5</v>
      </c>
      <c r="D8" s="42" t="n">
        <v>0.5</v>
      </c>
      <c r="F8" s="41" t="inlineStr">
        <is>
          <t>Pendant l'essai, Bridge est ouvert : c'est le principal coût de l'essai</t>
        </is>
      </c>
    </row>
    <row r="9" ht="15" customHeight="1" s="30">
      <c r="A9" s="34" t="inlineStr">
        <is>
          <t>Documents lus par l'IA pendant l'essai, par inscrit</t>
        </is>
      </c>
      <c r="B9" s="44" t="n">
        <v>8</v>
      </c>
      <c r="C9" s="44" t="n">
        <v>8</v>
      </c>
      <c r="D9" s="44" t="n">
        <v>8</v>
      </c>
      <c r="F9" s="41" t="inlineStr">
        <is>
          <t>Modèle rapide (0,5 c) ; 15 % repassent en modèle précis (2 c)</t>
        </is>
      </c>
    </row>
    <row r="10" ht="15" customHeight="1" s="30">
      <c r="A10" s="34" t="inlineStr">
        <is>
          <t>Documents lus par l'IA par compte gratuit et par mois (après essai)</t>
        </is>
      </c>
      <c r="B10" s="44" t="n">
        <v>0</v>
      </c>
      <c r="C10" s="44" t="n">
        <v>0</v>
      </c>
      <c r="D10" s="44" t="n">
        <v>0</v>
      </c>
      <c r="F10" s="41" t="inlineStr">
        <is>
          <t>Gratuit nu : lecture locale sans IA, pas d'import de relevés ni de banque (NIDOU_IA_LECTURES_GRATUIT=0)</t>
        </is>
      </c>
    </row>
    <row r="11" ht="15" customHeight="1" s="30">
      <c r="A11" s="34" t="inlineStr">
        <is>
          <t>Hébergement OVH</t>
        </is>
      </c>
      <c r="B11" s="46" t="n">
        <v>60</v>
      </c>
      <c r="C11" s="46" t="n">
        <v>60</v>
      </c>
      <c r="D11" s="46" t="n">
        <v>120</v>
      </c>
      <c r="F11" s="41" t="inlineStr">
        <is>
          <t>VPS puis une instance de plus au mois 3</t>
        </is>
      </c>
    </row>
    <row r="12" ht="15" customHeight="1" s="30">
      <c r="A12" s="34" t="inlineStr">
        <is>
          <t>Juridique, comptable, assurance (dont dépôt INPI 190 € au mois 1)</t>
        </is>
      </c>
      <c r="B12" s="46" t="n">
        <v>900</v>
      </c>
      <c r="C12" s="46" t="n">
        <v>500</v>
      </c>
      <c r="D12" s="46" t="n">
        <v>500</v>
      </c>
      <c r="F12" s="41" t="inlineStr">
        <is>
          <t>Expert-comptable ~250 €/mois, RC pro, CGV/RGPD relus par un avocat (~1 500 € à prévoir une fois, non inclus)</t>
        </is>
      </c>
    </row>
    <row r="13" ht="15" customHeight="1" s="30">
      <c r="A13" s="34" t="inlineStr">
        <is>
          <t>Outils (domaine, Brevo, monitoring, Stripe hors commissions)</t>
        </is>
      </c>
      <c r="B13" s="46" t="n">
        <v>100</v>
      </c>
      <c r="C13" s="46" t="n">
        <v>100</v>
      </c>
      <c r="D13" s="46" t="n">
        <v>150</v>
      </c>
      <c r="F13" s="41" t="n"/>
    </row>
    <row r="14" ht="15" customHeight="1" s="30">
      <c r="A14" s="34" t="inlineStr">
        <is>
          <t>Marketing (contenu, visuels, petits partenariats)</t>
        </is>
      </c>
      <c r="B14" s="46" t="n">
        <v>300</v>
      </c>
      <c r="C14" s="46" t="n">
        <v>500</v>
      </c>
      <c r="D14" s="46" t="n">
        <v>1000</v>
      </c>
      <c r="F14" s="41" t="inlineStr">
        <is>
          <t>Pas de publicité payante avant une conversion mesurée</t>
        </is>
      </c>
    </row>
    <row r="15" ht="15" customHeight="1" s="30">
      <c r="A15" s="34" t="inlineStr">
        <is>
          <t>Équipe (hors fondateur)</t>
        </is>
      </c>
      <c r="B15" s="46" t="n">
        <v>0</v>
      </c>
      <c r="C15" s="46" t="n">
        <v>0</v>
      </c>
      <c r="D15" s="46" t="n">
        <v>0</v>
      </c>
      <c r="F15" s="41" t="inlineStr">
        <is>
          <t>Le fondateur et Claude ; une première embauche n'est pas nécessaire avant ~5 000 payants</t>
        </is>
      </c>
    </row>
    <row r="16"/>
    <row r="17" ht="15" customHeight="1" s="30">
      <c r="A17" s="33" t="inlineStr">
        <is>
          <t>COÛTS UNITAIRES (repris de l'onglet Hypothèses)</t>
        </is>
      </c>
    </row>
    <row r="18" ht="15" customHeight="1" s="30">
      <c r="A18" s="34" t="inlineStr">
        <is>
          <t>Coût d'une lecture IA pendant l'essai (€)</t>
        </is>
      </c>
      <c r="B18" s="47">
        <f>0.85*0.005+0.15*0.02</f>
        <v/>
      </c>
      <c r="F18" s="41" t="inlineStr">
        <is>
          <t>85 % modèle rapide à 0,5 c, 15 % modèle précis à 2 c</t>
        </is>
      </c>
    </row>
    <row r="19" ht="15" customHeight="1" s="30">
      <c r="A19" s="34" t="inlineStr">
        <is>
          <t>Bridge par compte connecté et par mois (€)</t>
        </is>
      </c>
      <c r="B19" s="47">
        <f>Hypothèses!$B$21</f>
        <v/>
      </c>
      <c r="F19" s="41" t="n"/>
    </row>
    <row r="20" ht="15" customHeight="1" s="30">
      <c r="A20" s="34" t="inlineStr">
        <is>
          <t>Comptes connectés par foyer</t>
        </is>
      </c>
      <c r="B20" s="48">
        <f>Hypothèses!$B$23</f>
        <v/>
      </c>
      <c r="F20" s="41" t="n"/>
    </row>
    <row r="21" ht="15" customHeight="1" s="30">
      <c r="A21" s="34" t="inlineStr">
        <is>
          <t>Stockage et push par compte et par mois (€)</t>
        </is>
      </c>
      <c r="B21" s="47">
        <f>Hypothèses!$B$24</f>
        <v/>
      </c>
      <c r="F21" s="41" t="inlineStr">
        <is>
          <t>Push gratuit ; pas d'email sur le gratuit</t>
        </is>
      </c>
    </row>
    <row r="22" ht="15" customHeight="1" s="30">
      <c r="A22" s="34" t="inlineStr">
        <is>
          <t>Revenu net par payant et par mois (€)</t>
        </is>
      </c>
      <c r="B22" s="47">
        <f>Prévisionnel!$B$14/Prévisionnel!$B$4</f>
        <v/>
      </c>
      <c r="F22" s="41" t="inlineStr">
        <is>
          <t>Après TVA et commissions Stripe</t>
        </is>
      </c>
    </row>
    <row r="23" ht="15" customHeight="1" s="30">
      <c r="A23" s="34" t="inlineStr">
        <is>
          <t>Coût variable d'un payant par mois (€)</t>
        </is>
      </c>
      <c r="B23" s="47">
        <f>-Prévisionnel!$B$21/Prévisionnel!$B$4</f>
        <v/>
      </c>
      <c r="F23" s="41" t="inlineStr">
        <is>
          <t>IA, Bridge, stockage, emails</t>
        </is>
      </c>
    </row>
    <row r="24"/>
    <row r="25" ht="15" customHeight="1" s="30">
      <c r="A25" s="33" t="inlineStr">
        <is>
          <t>MOIS</t>
        </is>
      </c>
      <c r="B25" s="33" t="inlineStr">
        <is>
          <t>Mois 1</t>
        </is>
      </c>
      <c r="C25" s="33" t="inlineStr">
        <is>
          <t>Mois 2</t>
        </is>
      </c>
      <c r="D25" s="33" t="inlineStr">
        <is>
          <t>Mois 3</t>
        </is>
      </c>
      <c r="E25" s="33" t="inlineStr">
        <is>
          <t>Total 3 mois</t>
        </is>
      </c>
    </row>
    <row r="26" ht="15" customHeight="1" s="30">
      <c r="A26" s="34" t="inlineStr">
        <is>
          <t>Inscriptions du mois</t>
        </is>
      </c>
      <c r="B26" s="49">
        <f>B5</f>
        <v/>
      </c>
      <c r="C26" s="49">
        <f>C5</f>
        <v/>
      </c>
      <c r="D26" s="49">
        <f>D5</f>
        <v/>
      </c>
      <c r="E26" s="50">
        <f>SUM(B26:D26)</f>
        <v/>
      </c>
    </row>
    <row r="27" ht="15" customHeight="1" s="30">
      <c r="A27" s="34" t="inlineStr">
        <is>
          <t>Comptes en essai (15 jours, plan Famille complet)</t>
        </is>
      </c>
      <c r="B27" s="49">
        <f>B26</f>
        <v/>
      </c>
      <c r="C27" s="49">
        <f>C26</f>
        <v/>
      </c>
      <c r="D27" s="49">
        <f>D26</f>
        <v/>
      </c>
    </row>
    <row r="28" ht="15" customHeight="1" s="30">
      <c r="A28" s="34" t="inlineStr">
        <is>
          <t>Nouveaux payants (conversion en fin d'essai)</t>
        </is>
      </c>
      <c r="B28" s="49">
        <f>ROUND(B26*B6,0)</f>
        <v/>
      </c>
      <c r="C28" s="49">
        <f>ROUND(C26*C6,0)</f>
        <v/>
      </c>
      <c r="D28" s="49">
        <f>ROUND(D26*D6,0)</f>
        <v/>
      </c>
      <c r="E28" s="50">
        <f>SUM(B28:D28)</f>
        <v/>
      </c>
    </row>
    <row r="29" ht="15" customHeight="1" s="30">
      <c r="A29" s="36" t="inlineStr">
        <is>
          <t>Payants en fin de mois</t>
        </is>
      </c>
      <c r="B29" s="50">
        <f>B28</f>
        <v/>
      </c>
      <c r="C29" s="50">
        <f>ROUND(B29*(1-C7),0)+C28</f>
        <v/>
      </c>
      <c r="D29" s="50">
        <f>ROUND(C29*(1-D7),0)+D28</f>
        <v/>
      </c>
    </row>
    <row r="30" ht="15" customHeight="1" s="30">
      <c r="A30" s="34" t="inlineStr">
        <is>
          <t>Comptes gratuits actifs en fin de mois (après essai, non convertis)</t>
        </is>
      </c>
      <c r="B30" s="51">
        <f>B26-B28</f>
        <v/>
      </c>
      <c r="C30" s="51">
        <f>B30+C26-C28</f>
        <v/>
      </c>
      <c r="D30" s="51">
        <f>C30+D26-D28</f>
        <v/>
      </c>
    </row>
    <row r="31"/>
    <row r="32" ht="15" customHeight="1" s="30">
      <c r="A32" s="33" t="inlineStr">
        <is>
          <t>REVENUS</t>
        </is>
      </c>
    </row>
    <row r="33" ht="15" customHeight="1" s="30">
      <c r="A33" s="36" t="inlineStr">
        <is>
          <t>Revenu net encaissé (payants moyens du mois × revenu net)</t>
        </is>
      </c>
      <c r="B33" s="52">
        <f>(B29-B28/2)*$B$22</f>
        <v/>
      </c>
      <c r="C33" s="52">
        <f>(C29-C28/2)*$B$22</f>
        <v/>
      </c>
      <c r="D33" s="52">
        <f>(D29-D28/2)*$B$22</f>
        <v/>
      </c>
      <c r="E33" s="52">
        <f>SUM(B33:D33)</f>
        <v/>
      </c>
    </row>
    <row r="34"/>
    <row r="35" ht="15" customHeight="1" s="30">
      <c r="A35" s="33" t="inlineStr">
        <is>
          <t>COÛTS VARIABLES</t>
        </is>
      </c>
    </row>
    <row r="36" ht="15" customHeight="1" s="30">
      <c r="A36" s="34" t="inlineStr">
        <is>
          <t>IA pendant l'essai</t>
        </is>
      </c>
      <c r="B36" s="53">
        <f>-B27*B9*$B$18</f>
        <v/>
      </c>
      <c r="C36" s="53">
        <f>-C27*C9*$B$18</f>
        <v/>
      </c>
      <c r="D36" s="53">
        <f>-D27*D9*$B$18</f>
        <v/>
      </c>
      <c r="E36" s="52">
        <f>SUM(B36:D36)</f>
        <v/>
      </c>
    </row>
    <row r="37" ht="15" customHeight="1" s="30">
      <c r="A37" s="34" t="inlineStr">
        <is>
          <t>Bridge pendant l'essai (½ mois, part connectée)</t>
        </is>
      </c>
      <c r="B37" s="53">
        <f>-B27*B8*$B$20*$B$19*0.5</f>
        <v/>
      </c>
      <c r="C37" s="53">
        <f>-C27*C8*$B$20*$B$19*0.5</f>
        <v/>
      </c>
      <c r="D37" s="53">
        <f>-D27*D8*$B$20*$B$19*0.5</f>
        <v/>
      </c>
      <c r="E37" s="52">
        <f>SUM(B37:D37)</f>
        <v/>
      </c>
    </row>
    <row r="38" ht="15" customHeight="1" s="30">
      <c r="A38" s="34" t="inlineStr">
        <is>
          <t>Comptes gratuits (stockage + push ; IA à zéro)</t>
        </is>
      </c>
      <c r="B38" s="53">
        <f>-B30*(B10*0.005+$B$21)</f>
        <v/>
      </c>
      <c r="C38" s="53">
        <f>-C30*(C10*0.005+$B$21)</f>
        <v/>
      </c>
      <c r="D38" s="53">
        <f>-D30*(D10*0.005+$B$21)</f>
        <v/>
      </c>
      <c r="E38" s="52">
        <f>SUM(B38:D38)</f>
        <v/>
      </c>
    </row>
    <row r="39" ht="15" customHeight="1" s="30">
      <c r="A39" s="34" t="inlineStr">
        <is>
          <t>Payants (IA, Bridge, stockage, emails)</t>
        </is>
      </c>
      <c r="B39" s="53">
        <f>-(B29-B28/2)*$B$23</f>
        <v/>
      </c>
      <c r="C39" s="53">
        <f>-(C29-C28/2)*$B$23</f>
        <v/>
      </c>
      <c r="D39" s="53">
        <f>-(D29-D28/2)*$B$23</f>
        <v/>
      </c>
      <c r="E39" s="52">
        <f>SUM(B39:D39)</f>
        <v/>
      </c>
    </row>
    <row r="40" ht="15" customHeight="1" s="30">
      <c r="A40" s="36" t="inlineStr">
        <is>
          <t>Total coûts variables</t>
        </is>
      </c>
      <c r="B40" s="52">
        <f>SUM(B36:B39)</f>
        <v/>
      </c>
      <c r="C40" s="52">
        <f>SUM(C36:C39)</f>
        <v/>
      </c>
      <c r="D40" s="52">
        <f>SUM(D36:D39)</f>
        <v/>
      </c>
      <c r="E40" s="52">
        <f>SUM(B40:D40)</f>
        <v/>
      </c>
    </row>
    <row r="41"/>
    <row r="42" ht="15" customHeight="1" s="30">
      <c r="A42" s="33" t="inlineStr">
        <is>
          <t>COÛTS FIXES</t>
        </is>
      </c>
    </row>
    <row r="43" ht="15" customHeight="1" s="30">
      <c r="A43" s="34" t="inlineStr">
        <is>
          <t>Hébergement OVH</t>
        </is>
      </c>
      <c r="B43" s="54">
        <f>-B11</f>
        <v/>
      </c>
      <c r="C43" s="54">
        <f>-C11</f>
        <v/>
      </c>
      <c r="D43" s="54">
        <f>-D11</f>
        <v/>
      </c>
      <c r="E43" s="52">
        <f>SUM(B43:D43)</f>
        <v/>
      </c>
    </row>
    <row r="44" ht="15" customHeight="1" s="30">
      <c r="A44" s="34" t="inlineStr">
        <is>
          <t>Juridique, comptable, assurance (dont dépôt INPI 190 € au mois 1)</t>
        </is>
      </c>
      <c r="B44" s="54">
        <f>-B12</f>
        <v/>
      </c>
      <c r="C44" s="54">
        <f>-C12</f>
        <v/>
      </c>
      <c r="D44" s="54">
        <f>-D12</f>
        <v/>
      </c>
      <c r="E44" s="52">
        <f>SUM(B44:D44)</f>
        <v/>
      </c>
    </row>
    <row r="45" ht="15" customHeight="1" s="30">
      <c r="A45" s="34" t="inlineStr">
        <is>
          <t>Outils (domaine, Brevo, monitoring, Stripe hors commissions)</t>
        </is>
      </c>
      <c r="B45" s="54">
        <f>-B13</f>
        <v/>
      </c>
      <c r="C45" s="54">
        <f>-C13</f>
        <v/>
      </c>
      <c r="D45" s="54">
        <f>-D13</f>
        <v/>
      </c>
      <c r="E45" s="52">
        <f>SUM(B45:D45)</f>
        <v/>
      </c>
    </row>
    <row r="46" ht="15" customHeight="1" s="30">
      <c r="A46" s="34" t="inlineStr">
        <is>
          <t>Marketing (contenu, visuels, petits partenariats)</t>
        </is>
      </c>
      <c r="B46" s="54">
        <f>-B14</f>
        <v/>
      </c>
      <c r="C46" s="54">
        <f>-C14</f>
        <v/>
      </c>
      <c r="D46" s="54">
        <f>-D14</f>
        <v/>
      </c>
      <c r="E46" s="52">
        <f>SUM(B46:D46)</f>
        <v/>
      </c>
    </row>
    <row r="47" ht="15" customHeight="1" s="30">
      <c r="A47" s="34" t="inlineStr">
        <is>
          <t>Équipe (hors fondateur)</t>
        </is>
      </c>
      <c r="B47" s="54">
        <f>-B15</f>
        <v/>
      </c>
      <c r="C47" s="54">
        <f>-C15</f>
        <v/>
      </c>
      <c r="D47" s="54">
        <f>-D15</f>
        <v/>
      </c>
      <c r="E47" s="52">
        <f>SUM(B47:D47)</f>
        <v/>
      </c>
    </row>
    <row r="48" ht="15" customHeight="1" s="30">
      <c r="A48" s="36" t="inlineStr">
        <is>
          <t>Total coûts fixes</t>
        </is>
      </c>
      <c r="B48" s="52">
        <f>SUM(B43:B47)</f>
        <v/>
      </c>
      <c r="C48" s="52">
        <f>SUM(C43:C47)</f>
        <v/>
      </c>
      <c r="D48" s="52">
        <f>SUM(D43:D47)</f>
        <v/>
      </c>
      <c r="E48" s="52">
        <f>SUM(B48:D48)</f>
        <v/>
      </c>
    </row>
    <row r="49"/>
    <row r="50" ht="15" customHeight="1" s="30">
      <c r="A50" s="36" t="inlineStr">
        <is>
          <t>RÉSULTAT DU MOIS</t>
        </is>
      </c>
      <c r="B50" s="55">
        <f>B33+B40+B48</f>
        <v/>
      </c>
      <c r="C50" s="55">
        <f>C33+C40+C48</f>
        <v/>
      </c>
      <c r="D50" s="55">
        <f>D33+D40+D48</f>
        <v/>
      </c>
      <c r="E50" s="55">
        <f>SUM(B50:D50)</f>
        <v/>
      </c>
    </row>
    <row r="51" ht="15" customHeight="1" s="30">
      <c r="A51" s="36" t="inlineStr">
        <is>
          <t>Trésorerie cumulée (besoin de financement si négatif)</t>
        </is>
      </c>
      <c r="B51" s="52">
        <f>B50</f>
        <v/>
      </c>
      <c r="C51" s="52">
        <f>B51+C50</f>
        <v/>
      </c>
      <c r="D51" s="52">
        <f>C51+D50</f>
        <v/>
      </c>
    </row>
    <row r="52"/>
    <row r="53" ht="15" customHeight="1" s="30">
      <c r="A53" s="33" t="inlineStr">
        <is>
          <t>REPÈRES</t>
        </is>
      </c>
    </row>
    <row r="54" ht="15" customHeight="1" s="30">
      <c r="A54" s="34" t="inlineStr">
        <is>
          <t>Coût d'un inscrit en essai (IA + Bridge), €</t>
        </is>
      </c>
      <c r="B54" s="43">
        <f>IF(B26=0,0,-(B36+B37)/B26)</f>
        <v/>
      </c>
      <c r="C54" s="43">
        <f>IF(C26=0,0,-(C36+C37)/C26)</f>
        <v/>
      </c>
      <c r="D54" s="43">
        <f>IF(D26=0,0,-(D36+D37)/D26)</f>
        <v/>
      </c>
    </row>
    <row r="55" ht="15" customHeight="1" s="30">
      <c r="A55" s="34" t="inlineStr">
        <is>
          <t>Coût d'un compte gratuit par mois, €</t>
        </is>
      </c>
      <c r="B55" s="43">
        <f>IF(B30=0,0,-B38/B30)</f>
        <v/>
      </c>
      <c r="C55" s="43">
        <f>IF(C30=0,0,-C38/C30)</f>
        <v/>
      </c>
      <c r="D55" s="43">
        <f>IF(D30=0,0,-D38/D30)</f>
        <v/>
      </c>
    </row>
    <row r="56" ht="15" customHeight="1" s="30">
      <c r="A56" s="34" t="inlineStr">
        <is>
          <t>Coût total des inscrits ÷ nouveaux payants (coût d'acquisition réel), €</t>
        </is>
      </c>
      <c r="B56" s="43">
        <f>IF(B28=0,0,-(B36+B37)/B28)</f>
        <v/>
      </c>
      <c r="C56" s="43">
        <f>IF(C28=0,0,-(C36+C37)/C28)</f>
        <v/>
      </c>
      <c r="D56" s="43">
        <f>IF(D28=0,0,-(D36+D37)/D28)</f>
        <v/>
      </c>
    </row>
    <row r="57" ht="15" customHeight="1" s="30">
      <c r="A57" s="34" t="inlineStr">
        <is>
          <t>Chiffre d'affaires TTC facturé dans le mois (indicatif)</t>
        </is>
      </c>
      <c r="B57" s="53">
        <f>(B29-B28/2)*Prévisionnel!$B$9</f>
        <v/>
      </c>
      <c r="C57" s="53">
        <f>(C29-C28/2)*Prévisionnel!$B$9</f>
        <v/>
      </c>
      <c r="D57" s="53">
        <f>(D29-D28/2)*Prévisionnel!$B$9</f>
        <v/>
      </c>
      <c r="E57" s="52">
        <f>SUM(B57:D57)</f>
        <v/>
      </c>
    </row>
    <row r="58"/>
    <row r="59" ht="15" customHeight="1" s="30">
      <c r="A59" s="32" t="inlineStr">
        <is>
          <t>Lecture : l'essai inversé coûte ≈ 0,40 € par inscrit (surtout Bridge, ouvert 15 jours). À 8 % de conversion, cela revient à ≈ 5 € par payant gagné, pour un abonné qui rapporte ≈ 7 € nets dès son premier mois. Le gratuit nu ne coûte que le stockage et le push : ≈ 1 centime par compte et par mois, zéro IA. Les coûts fixes du lancement (comptable, outils, hébergement) pèsent plus que les utilisateurs.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52" customWidth="1" style="29" min="1" max="1"/>
    <col width="18" customWidth="1" style="29" min="2" max="6"/>
  </cols>
  <sheetData>
    <row r="1" ht="16.15" customHeight="1" s="30">
      <c r="A1" s="31" t="inlineStr">
        <is>
          <t>Lucien — compte de résultat mensuel par palier d'abonnés payants</t>
        </is>
      </c>
    </row>
    <row r="2" ht="15" customHeight="1" s="30">
      <c r="A2" s="39" t="inlineStr">
        <is>
          <t>Régime de croisière à chaque palier (hors phase de lancement). Montants hors taxes, par mois.</t>
        </is>
      </c>
    </row>
    <row r="3" ht="15" customHeight="1" s="30">
      <c r="A3" s="38" t="n"/>
      <c r="B3" s="38" t="n"/>
      <c r="C3" s="38" t="n"/>
      <c r="D3" s="38" t="n"/>
      <c r="E3" s="38" t="n"/>
      <c r="F3" s="38" t="n"/>
    </row>
    <row r="4" ht="15" customHeight="1" s="30">
      <c r="A4" s="36" t="inlineStr">
        <is>
          <t>Abonnés payants</t>
        </is>
      </c>
      <c r="B4" s="56">
        <f>Hypothèses!B$28</f>
        <v/>
      </c>
      <c r="C4" s="56">
        <f>Hypothèses!C$28</f>
        <v/>
      </c>
      <c r="D4" s="56">
        <f>Hypothèses!D$28</f>
        <v/>
      </c>
      <c r="E4" s="56">
        <f>Hypothèses!E$28</f>
        <v/>
      </c>
      <c r="F4" s="56">
        <f>Hypothèses!F$28</f>
        <v/>
      </c>
    </row>
    <row r="5" ht="15" customHeight="1" s="30">
      <c r="A5" s="34" t="inlineStr">
        <is>
          <t>Comptes gratuits</t>
        </is>
      </c>
      <c r="B5" s="49">
        <f>B4*Hypothèses!$B$16</f>
        <v/>
      </c>
      <c r="C5" s="49">
        <f>C4*Hypothèses!$B$16</f>
        <v/>
      </c>
      <c r="D5" s="49">
        <f>D4*Hypothèses!$B$16</f>
        <v/>
      </c>
      <c r="E5" s="49">
        <f>E4*Hypothèses!$B$16</f>
        <v/>
      </c>
      <c r="F5" s="49">
        <f>F4*Hypothèses!$B$16</f>
        <v/>
      </c>
    </row>
    <row r="6" ht="15" customHeight="1" s="30">
      <c r="A6" s="34" t="inlineStr">
        <is>
          <t>Foyers au total</t>
        </is>
      </c>
      <c r="B6" s="49">
        <f>B4+B5</f>
        <v/>
      </c>
      <c r="C6" s="49">
        <f>C4+C5</f>
        <v/>
      </c>
      <c r="D6" s="49">
        <f>D4+D5</f>
        <v/>
      </c>
      <c r="E6" s="49">
        <f>E4+E5</f>
        <v/>
      </c>
      <c r="F6" s="49">
        <f>F4+F5</f>
        <v/>
      </c>
    </row>
    <row r="7" ht="15" customHeight="1" s="30">
      <c r="A7" s="38" t="n"/>
      <c r="B7" s="38" t="n"/>
      <c r="C7" s="38" t="n"/>
      <c r="D7" s="38" t="n"/>
      <c r="E7" s="38" t="n"/>
      <c r="F7" s="38" t="n"/>
    </row>
    <row r="8" ht="15" customHeight="1" s="30">
      <c r="A8" s="33" t="inlineStr">
        <is>
          <t>REVENUS</t>
        </is>
      </c>
      <c r="B8" s="38" t="n"/>
      <c r="C8" s="38" t="n"/>
      <c r="D8" s="38" t="n"/>
      <c r="E8" s="38" t="n"/>
      <c r="F8" s="38" t="n"/>
    </row>
    <row r="9" ht="15" customHeight="1" s="30">
      <c r="A9" s="34" t="inlineStr">
        <is>
          <t>Revenu TTC moyen par abonné et par mois</t>
        </is>
      </c>
      <c r="B9" s="43">
        <f>(Hypothèses!$B$10*(1-Hypothèses!$B$12)+Hypothèses!$B$11/12*Hypothèses!$B$12)</f>
        <v/>
      </c>
      <c r="C9" s="43">
        <f>(Hypothèses!$B$10*(1-Hypothèses!$B$12)+Hypothèses!$B$11/12*Hypothèses!$B$12)</f>
        <v/>
      </c>
      <c r="D9" s="43">
        <f>(Hypothèses!$B$10*(1-Hypothèses!$B$12)+Hypothèses!$B$11/12*Hypothèses!$B$12)</f>
        <v/>
      </c>
      <c r="E9" s="43">
        <f>(Hypothèses!$B$10*(1-Hypothèses!$B$12)+Hypothèses!$B$11/12*Hypothèses!$B$12)</f>
        <v/>
      </c>
      <c r="F9" s="43">
        <f>(Hypothèses!$B$10*(1-Hypothèses!$B$12)+Hypothèses!$B$11/12*Hypothèses!$B$12)</f>
        <v/>
      </c>
    </row>
    <row r="10" ht="15" customHeight="1" s="30">
      <c r="A10" s="34" t="inlineStr">
        <is>
          <t>Chiffre d'affaires TTC</t>
        </is>
      </c>
      <c r="B10" s="53">
        <f>B4*B9</f>
        <v/>
      </c>
      <c r="C10" s="53">
        <f>C4*C9</f>
        <v/>
      </c>
      <c r="D10" s="53">
        <f>D4*D9</f>
        <v/>
      </c>
      <c r="E10" s="53">
        <f>E4*E9</f>
        <v/>
      </c>
      <c r="F10" s="53">
        <f>F4*F9</f>
        <v/>
      </c>
    </row>
    <row r="11" ht="15" customHeight="1" s="30">
      <c r="A11" s="34" t="inlineStr">
        <is>
          <t>TVA collectée</t>
        </is>
      </c>
      <c r="B11" s="53">
        <f>-B10*Hypothèses!$B$13/(1+Hypothèses!$B$13)</f>
        <v/>
      </c>
      <c r="C11" s="53">
        <f>-C10*Hypothèses!$B$13/(1+Hypothèses!$B$13)</f>
        <v/>
      </c>
      <c r="D11" s="53">
        <f>-D10*Hypothèses!$B$13/(1+Hypothèses!$B$13)</f>
        <v/>
      </c>
      <c r="E11" s="53">
        <f>-E10*Hypothèses!$B$13/(1+Hypothèses!$B$13)</f>
        <v/>
      </c>
      <c r="F11" s="53">
        <f>-F10*Hypothèses!$B$13/(1+Hypothèses!$B$13)</f>
        <v/>
      </c>
    </row>
    <row r="12" ht="15" customHeight="1" s="30">
      <c r="A12" s="36" t="inlineStr">
        <is>
          <t>Chiffre d'affaires HT</t>
        </is>
      </c>
      <c r="B12" s="52">
        <f>B10+B11</f>
        <v/>
      </c>
      <c r="C12" s="52">
        <f>C10+C11</f>
        <v/>
      </c>
      <c r="D12" s="52">
        <f>D10+D11</f>
        <v/>
      </c>
      <c r="E12" s="52">
        <f>E10+E11</f>
        <v/>
      </c>
      <c r="F12" s="52">
        <f>F10+F11</f>
        <v/>
      </c>
    </row>
    <row r="13" ht="15" customHeight="1" s="30">
      <c r="A13" s="34" t="inlineStr">
        <is>
          <t>Commissions de paiement</t>
        </is>
      </c>
      <c r="B13" s="53">
        <f>-(B10*Hypothèses!$B$14+B4*((1-Hypothèses!$B$12)*1+Hypothèses!$B$12/12)*Hypothèses!$B$15)</f>
        <v/>
      </c>
      <c r="C13" s="53">
        <f>-(C10*Hypothèses!$B$14+C4*((1-Hypothèses!$B$12)*1+Hypothèses!$B$12/12)*Hypothèses!$B$15)</f>
        <v/>
      </c>
      <c r="D13" s="53">
        <f>-(D10*Hypothèses!$B$14+D4*((1-Hypothèses!$B$12)*1+Hypothèses!$B$12/12)*Hypothèses!$B$15)</f>
        <v/>
      </c>
      <c r="E13" s="53">
        <f>-(E10*Hypothèses!$B$14+E4*((1-Hypothèses!$B$12)*1+Hypothèses!$B$12/12)*Hypothèses!$B$15)</f>
        <v/>
      </c>
      <c r="F13" s="53">
        <f>-(F10*Hypothèses!$B$14+F4*((1-Hypothèses!$B$12)*1+Hypothèses!$B$12/12)*Hypothèses!$B$15)</f>
        <v/>
      </c>
    </row>
    <row r="14" ht="15" customHeight="1" s="30">
      <c r="A14" s="36" t="inlineStr">
        <is>
          <t>Revenu net encaissé</t>
        </is>
      </c>
      <c r="B14" s="52">
        <f>B12+B13</f>
        <v/>
      </c>
      <c r="C14" s="52">
        <f>C12+C13</f>
        <v/>
      </c>
      <c r="D14" s="52">
        <f>D12+D13</f>
        <v/>
      </c>
      <c r="E14" s="52">
        <f>E12+E13</f>
        <v/>
      </c>
      <c r="F14" s="52">
        <f>F12+F13</f>
        <v/>
      </c>
    </row>
    <row r="15" ht="15" customHeight="1" s="30">
      <c r="A15" s="38" t="n"/>
      <c r="B15" s="38" t="n"/>
      <c r="C15" s="38" t="n"/>
      <c r="D15" s="38" t="n"/>
      <c r="E15" s="38" t="n"/>
      <c r="F15" s="38" t="n"/>
    </row>
    <row r="16" ht="15" customHeight="1" s="30">
      <c r="A16" s="33" t="inlineStr">
        <is>
          <t>COÛTS VARIABLES</t>
        </is>
      </c>
      <c r="B16" s="38" t="n"/>
      <c r="C16" s="38" t="n"/>
      <c r="D16" s="38" t="n"/>
      <c r="E16" s="38" t="n"/>
      <c r="F16" s="38" t="n"/>
    </row>
    <row r="17" ht="15" customHeight="1" s="30">
      <c r="A17" s="34" t="inlineStr">
        <is>
          <t>IA (extraction, catégorisation, courriers)</t>
        </is>
      </c>
      <c r="B17" s="53">
        <f>-(B4*Hypothèses!$B$19+B5*Hypothèses!$B$20)</f>
        <v/>
      </c>
      <c r="C17" s="53">
        <f>-(C4*Hypothèses!$B$19+C5*Hypothèses!$B$20)</f>
        <v/>
      </c>
      <c r="D17" s="53">
        <f>-(D4*Hypothèses!$B$19+D5*Hypothèses!$B$20)</f>
        <v/>
      </c>
      <c r="E17" s="53">
        <f>-(E4*Hypothèses!$B$19+E5*Hypothèses!$B$20)</f>
        <v/>
      </c>
      <c r="F17" s="53">
        <f>-(F4*Hypothèses!$B$19+F5*Hypothèses!$B$20)</f>
        <v/>
      </c>
    </row>
    <row r="18" ht="15" customHeight="1" s="30">
      <c r="A18" s="34" t="inlineStr">
        <is>
          <t>Agrégation bancaire (Bridge)</t>
        </is>
      </c>
      <c r="B18" s="53">
        <f>-B4*Hypothèses!$B$22*Hypothèses!$B$23*Hypothèses!$B$21</f>
        <v/>
      </c>
      <c r="C18" s="53">
        <f>-C4*Hypothèses!$B$22*Hypothèses!$B$23*Hypothèses!$B$21</f>
        <v/>
      </c>
      <c r="D18" s="53">
        <f>-D4*Hypothèses!$B$22*Hypothèses!$B$23*Hypothèses!$B$21</f>
        <v/>
      </c>
      <c r="E18" s="53">
        <f>-E4*Hypothèses!$B$22*Hypothèses!$B$23*Hypothèses!$B$21</f>
        <v/>
      </c>
      <c r="F18" s="53">
        <f>-F4*Hypothèses!$B$22*Hypothèses!$B$23*Hypothèses!$B$21</f>
        <v/>
      </c>
    </row>
    <row r="19" ht="15" customHeight="1" s="30">
      <c r="A19" s="34" t="inlineStr">
        <is>
          <t>Stockage, emails, notifications</t>
        </is>
      </c>
      <c r="B19" s="53">
        <f>-B6*(Hypothèses!$B$24+Hypothèses!$B$25)</f>
        <v/>
      </c>
      <c r="C19" s="53">
        <f>-C6*(Hypothèses!$B$24+Hypothèses!$B$25)</f>
        <v/>
      </c>
      <c r="D19" s="53">
        <f>-D6*(Hypothèses!$B$24+Hypothèses!$B$25)</f>
        <v/>
      </c>
      <c r="E19" s="53">
        <f>-E6*(Hypothèses!$B$24+Hypothèses!$B$25)</f>
        <v/>
      </c>
      <c r="F19" s="53">
        <f>-F6*(Hypothèses!$B$24+Hypothèses!$B$25)</f>
        <v/>
      </c>
    </row>
    <row r="20" ht="15" customHeight="1" s="30">
      <c r="A20" s="34" t="inlineStr">
        <is>
          <t>Acquisition pour remplacer le churn</t>
        </is>
      </c>
      <c r="B20" s="53">
        <f>-B4*Hypothèses!$B$17*Hypothèses!$B$26</f>
        <v/>
      </c>
      <c r="C20" s="53">
        <f>-C4*Hypothèses!$B$17*Hypothèses!$B$26</f>
        <v/>
      </c>
      <c r="D20" s="53">
        <f>-D4*Hypothèses!$B$17*Hypothèses!$B$26</f>
        <v/>
      </c>
      <c r="E20" s="53">
        <f>-E4*Hypothèses!$B$17*Hypothèses!$B$26</f>
        <v/>
      </c>
      <c r="F20" s="53">
        <f>-F4*Hypothèses!$B$17*Hypothèses!$B$26</f>
        <v/>
      </c>
    </row>
    <row r="21" ht="15" customHeight="1" s="30">
      <c r="A21" s="36" t="inlineStr">
        <is>
          <t>Total coûts variables</t>
        </is>
      </c>
      <c r="B21" s="52">
        <f>SUM(B17:B20)</f>
        <v/>
      </c>
      <c r="C21" s="52">
        <f>SUM(C17:C20)</f>
        <v/>
      </c>
      <c r="D21" s="52">
        <f>SUM(D17:D20)</f>
        <v/>
      </c>
      <c r="E21" s="52">
        <f>SUM(E17:E20)</f>
        <v/>
      </c>
      <c r="F21" s="52">
        <f>SUM(F17:F20)</f>
        <v/>
      </c>
    </row>
    <row r="22" ht="15" customHeight="1" s="30">
      <c r="A22" s="36" t="inlineStr">
        <is>
          <t>Marge sur coûts variables</t>
        </is>
      </c>
      <c r="B22" s="52">
        <f>B14+B21</f>
        <v/>
      </c>
      <c r="C22" s="52">
        <f>C14+C21</f>
        <v/>
      </c>
      <c r="D22" s="52">
        <f>D14+D21</f>
        <v/>
      </c>
      <c r="E22" s="52">
        <f>E14+E21</f>
        <v/>
      </c>
      <c r="F22" s="52">
        <f>F14+F21</f>
        <v/>
      </c>
    </row>
    <row r="23" ht="15" customHeight="1" s="30">
      <c r="A23" s="34" t="inlineStr">
        <is>
          <t>Marge sur coûts variables, % du CA HT</t>
        </is>
      </c>
      <c r="B23" s="57">
        <f>IF(B12=0,0,B22/B12)</f>
        <v/>
      </c>
      <c r="C23" s="57">
        <f>IF(C12=0,0,C22/C12)</f>
        <v/>
      </c>
      <c r="D23" s="57">
        <f>IF(D12=0,0,D22/D12)</f>
        <v/>
      </c>
      <c r="E23" s="57">
        <f>IF(E12=0,0,E22/E12)</f>
        <v/>
      </c>
      <c r="F23" s="57">
        <f>IF(F12=0,0,F22/F12)</f>
        <v/>
      </c>
    </row>
    <row r="24" ht="15" customHeight="1" s="30">
      <c r="A24" s="38" t="n"/>
      <c r="B24" s="38" t="n"/>
      <c r="C24" s="38" t="n"/>
      <c r="D24" s="38" t="n"/>
      <c r="E24" s="38" t="n"/>
      <c r="F24" s="38" t="n"/>
    </row>
    <row r="25" ht="15" customHeight="1" s="30">
      <c r="A25" s="33" t="inlineStr">
        <is>
          <t>COÛTS FIXES</t>
        </is>
      </c>
      <c r="B25" s="38" t="n"/>
      <c r="C25" s="38" t="n"/>
      <c r="D25" s="38" t="n"/>
      <c r="E25" s="38" t="n"/>
      <c r="F25" s="38" t="n"/>
    </row>
    <row r="26" ht="15" customHeight="1" s="30">
      <c r="A26" s="34" t="inlineStr">
        <is>
          <t>Hébergement OVH (serveurs, base, sauvegardes)</t>
        </is>
      </c>
      <c r="B26" s="54">
        <f>-Hypothèses!B$29</f>
        <v/>
      </c>
      <c r="C26" s="54">
        <f>-Hypothèses!C$29</f>
        <v/>
      </c>
      <c r="D26" s="54">
        <f>-Hypothèses!D$29</f>
        <v/>
      </c>
      <c r="E26" s="54">
        <f>-Hypothèses!E$29</f>
        <v/>
      </c>
      <c r="F26" s="54">
        <f>-Hypothèses!F$29</f>
        <v/>
      </c>
    </row>
    <row r="27" ht="15" customHeight="1" s="30">
      <c r="A27" s="34" t="inlineStr">
        <is>
          <t>Équipe technique (salaires chargés)</t>
        </is>
      </c>
      <c r="B27" s="54">
        <f>-Hypothèses!B$30</f>
        <v/>
      </c>
      <c r="C27" s="54">
        <f>-Hypothèses!C$30</f>
        <v/>
      </c>
      <c r="D27" s="54">
        <f>-Hypothèses!D$30</f>
        <v/>
      </c>
      <c r="E27" s="54">
        <f>-Hypothèses!E$30</f>
        <v/>
      </c>
      <c r="F27" s="54">
        <f>-Hypothèses!F$30</f>
        <v/>
      </c>
    </row>
    <row r="28" ht="15" customHeight="1" s="30">
      <c r="A28" s="34" t="inlineStr">
        <is>
          <t>Support client</t>
        </is>
      </c>
      <c r="B28" s="54">
        <f>-Hypothèses!B$31</f>
        <v/>
      </c>
      <c r="C28" s="54">
        <f>-Hypothèses!C$31</f>
        <v/>
      </c>
      <c r="D28" s="54">
        <f>-Hypothèses!D$31</f>
        <v/>
      </c>
      <c r="E28" s="54">
        <f>-Hypothèses!E$31</f>
        <v/>
      </c>
      <c r="F28" s="54">
        <f>-Hypothèses!F$31</f>
        <v/>
      </c>
    </row>
    <row r="29" ht="15" customHeight="1" s="30">
      <c r="A29" s="34" t="inlineStr">
        <is>
          <t>Juridique, comptable, assurance, banque</t>
        </is>
      </c>
      <c r="B29" s="54">
        <f>-Hypothèses!B$32</f>
        <v/>
      </c>
      <c r="C29" s="54">
        <f>-Hypothèses!C$32</f>
        <v/>
      </c>
      <c r="D29" s="54">
        <f>-Hypothèses!D$32</f>
        <v/>
      </c>
      <c r="E29" s="54">
        <f>-Hypothèses!E$32</f>
        <v/>
      </c>
      <c r="F29" s="54">
        <f>-Hypothèses!F$32</f>
        <v/>
      </c>
    </row>
    <row r="30" ht="15" customHeight="1" s="30">
      <c r="A30" s="34" t="inlineStr">
        <is>
          <t>Outils et licences (Stripe hors commissions, Brevo, monitoring, domaine)</t>
        </is>
      </c>
      <c r="B30" s="54">
        <f>-Hypothèses!B$33</f>
        <v/>
      </c>
      <c r="C30" s="54">
        <f>-Hypothèses!C$33</f>
        <v/>
      </c>
      <c r="D30" s="54">
        <f>-Hypothèses!D$33</f>
        <v/>
      </c>
      <c r="E30" s="54">
        <f>-Hypothèses!E$33</f>
        <v/>
      </c>
      <c r="F30" s="54">
        <f>-Hypothèses!F$33</f>
        <v/>
      </c>
    </row>
    <row r="31" ht="15" customHeight="1" s="30">
      <c r="A31" s="34" t="inlineStr">
        <is>
          <t>Marketing de marque (hors acquisition payante)</t>
        </is>
      </c>
      <c r="B31" s="54">
        <f>-Hypothèses!B$34</f>
        <v/>
      </c>
      <c r="C31" s="54">
        <f>-Hypothèses!C$34</f>
        <v/>
      </c>
      <c r="D31" s="54">
        <f>-Hypothèses!D$34</f>
        <v/>
      </c>
      <c r="E31" s="54">
        <f>-Hypothèses!E$34</f>
        <v/>
      </c>
      <c r="F31" s="54">
        <f>-Hypothèses!F$34</f>
        <v/>
      </c>
    </row>
    <row r="32" ht="15" customHeight="1" s="30">
      <c r="A32" s="36" t="inlineStr">
        <is>
          <t>Total coûts fixes</t>
        </is>
      </c>
      <c r="B32" s="52">
        <f>SUM(B26:B31)</f>
        <v/>
      </c>
      <c r="C32" s="52">
        <f>SUM(C26:C31)</f>
        <v/>
      </c>
      <c r="D32" s="52">
        <f>SUM(D26:D31)</f>
        <v/>
      </c>
      <c r="E32" s="52">
        <f>SUM(E26:E31)</f>
        <v/>
      </c>
      <c r="F32" s="52">
        <f>SUM(F26:F31)</f>
        <v/>
      </c>
    </row>
    <row r="33" ht="15" customHeight="1" s="30">
      <c r="A33" s="38" t="n"/>
      <c r="B33" s="38" t="n"/>
      <c r="C33" s="38" t="n"/>
      <c r="D33" s="38" t="n"/>
      <c r="E33" s="38" t="n"/>
      <c r="F33" s="38" t="n"/>
    </row>
    <row r="34" ht="15" customHeight="1" s="30">
      <c r="A34" s="36" t="inlineStr">
        <is>
          <t>RÉSULTAT MENSUEL (avant impôt)</t>
        </is>
      </c>
      <c r="B34" s="55">
        <f>B22+B32</f>
        <v/>
      </c>
      <c r="C34" s="55">
        <f>C22+C32</f>
        <v/>
      </c>
      <c r="D34" s="55">
        <f>D22+D32</f>
        <v/>
      </c>
      <c r="E34" s="55">
        <f>E22+E32</f>
        <v/>
      </c>
      <c r="F34" s="55">
        <f>F22+F32</f>
        <v/>
      </c>
    </row>
    <row r="35" ht="15" customHeight="1" s="30">
      <c r="A35" s="36" t="inlineStr">
        <is>
          <t>Résultat annuel (×12)</t>
        </is>
      </c>
      <c r="B35" s="52">
        <f>B34*12</f>
        <v/>
      </c>
      <c r="C35" s="52">
        <f>C34*12</f>
        <v/>
      </c>
      <c r="D35" s="52">
        <f>D34*12</f>
        <v/>
      </c>
      <c r="E35" s="52">
        <f>E34*12</f>
        <v/>
      </c>
      <c r="F35" s="52">
        <f>F34*12</f>
        <v/>
      </c>
    </row>
    <row r="36" ht="15" customHeight="1" s="30">
      <c r="A36" s="34" t="inlineStr">
        <is>
          <t>Marge nette, % du CA HT</t>
        </is>
      </c>
      <c r="B36" s="57">
        <f>IF(B12=0,0,B34/B12)</f>
        <v/>
      </c>
      <c r="C36" s="57">
        <f>IF(C12=0,0,C34/C12)</f>
        <v/>
      </c>
      <c r="D36" s="57">
        <f>IF(D12=0,0,D34/D12)</f>
        <v/>
      </c>
      <c r="E36" s="57">
        <f>IF(E12=0,0,E34/E12)</f>
        <v/>
      </c>
      <c r="F36" s="57">
        <f>IF(F12=0,0,F34/F12)</f>
        <v/>
      </c>
    </row>
    <row r="37" ht="15" customHeight="1" s="30">
      <c r="A37" s="38" t="n"/>
      <c r="B37" s="38" t="n"/>
      <c r="C37" s="38" t="n"/>
      <c r="D37" s="38" t="n"/>
      <c r="E37" s="38" t="n"/>
      <c r="F37" s="38" t="n"/>
    </row>
    <row r="38" ht="15" customHeight="1" s="30">
      <c r="A38" s="33" t="inlineStr">
        <is>
          <t>REPÈRES</t>
        </is>
      </c>
      <c r="B38" s="38" t="n"/>
      <c r="C38" s="38" t="n"/>
      <c r="D38" s="38" t="n"/>
      <c r="E38" s="38" t="n"/>
      <c r="F38" s="38" t="n"/>
    </row>
    <row r="39" ht="15" customHeight="1" s="30">
      <c r="A39" s="34" t="inlineStr">
        <is>
          <t>Revenu net par abonné et par mois</t>
        </is>
      </c>
      <c r="B39" s="43">
        <f>IF(B4=0,0,B14/B4)</f>
        <v/>
      </c>
      <c r="C39" s="43">
        <f>IF(C4=0,0,C14/C4)</f>
        <v/>
      </c>
      <c r="D39" s="43">
        <f>IF(D4=0,0,D14/D4)</f>
        <v/>
      </c>
      <c r="E39" s="43">
        <f>IF(E4=0,0,E14/E4)</f>
        <v/>
      </c>
      <c r="F39" s="43">
        <f>IF(F4=0,0,F14/F4)</f>
        <v/>
      </c>
    </row>
    <row r="40" ht="15" customHeight="1" s="30">
      <c r="A40" s="34" t="inlineStr">
        <is>
          <t>Coût variable par abonné et par mois</t>
        </is>
      </c>
      <c r="B40" s="43">
        <f>IF(B4=0,0,-B21/B4)</f>
        <v/>
      </c>
      <c r="C40" s="43">
        <f>IF(C4=0,0,-C21/C4)</f>
        <v/>
      </c>
      <c r="D40" s="43">
        <f>IF(D4=0,0,-D21/D4)</f>
        <v/>
      </c>
      <c r="E40" s="43">
        <f>IF(E4=0,0,-E21/E4)</f>
        <v/>
      </c>
      <c r="F40" s="43">
        <f>IF(F4=0,0,-F21/F4)</f>
        <v/>
      </c>
    </row>
    <row r="41" ht="15" customHeight="1" s="30">
      <c r="A41" s="34" t="inlineStr">
        <is>
          <t>Abonnés payants nécessaires pour couvrir les coûts fixes du palier</t>
        </is>
      </c>
      <c r="B41" s="49">
        <f>IF(B22=0,0,ROUNDUP(-B32/(B22/B4),0))</f>
        <v/>
      </c>
      <c r="C41" s="49">
        <f>IF(C22=0,0,ROUNDUP(-C32/(C22/C4),0))</f>
        <v/>
      </c>
      <c r="D41" s="49">
        <f>IF(D22=0,0,ROUNDUP(-D32/(D22/D4),0))</f>
        <v/>
      </c>
      <c r="E41" s="49">
        <f>IF(E22=0,0,ROUNDUP(-E32/(E22/E4),0))</f>
        <v/>
      </c>
      <c r="F41" s="49">
        <f>IF(F22=0,0,ROUNDUP(-F32/(F22/F4),0))</f>
        <v/>
      </c>
    </row>
    <row r="42" ht="15" customHeight="1" s="30">
      <c r="A42" s="34" t="inlineStr">
        <is>
          <t>Chiffre d'affaires annuel HT</t>
        </is>
      </c>
      <c r="B42" s="53">
        <f>B12*12</f>
        <v/>
      </c>
      <c r="C42" s="53">
        <f>C12*12</f>
        <v/>
      </c>
      <c r="D42" s="53">
        <f>D12*12</f>
        <v/>
      </c>
      <c r="E42" s="53">
        <f>E12*12</f>
        <v/>
      </c>
      <c r="F42" s="53">
        <f>F12*12</f>
        <v/>
      </c>
    </row>
    <row r="43" ht="15" customHeight="1" s="30">
      <c r="A43" s="34" t="inlineStr">
        <is>
          <t>Valeur d'un abonné sur sa durée de vie (revenu net / churn)</t>
        </is>
      </c>
      <c r="B43" s="53">
        <f>IF(Hypothèses!$B$17=0,0,B14/B4/Hypothèses!$B$17)</f>
        <v/>
      </c>
      <c r="C43" s="53">
        <f>IF(Hypothèses!$B$17=0,0,C14/C4/Hypothèses!$B$17)</f>
        <v/>
      </c>
      <c r="D43" s="53">
        <f>IF(Hypothèses!$B$17=0,0,D14/D4/Hypothèses!$B$17)</f>
        <v/>
      </c>
      <c r="E43" s="53">
        <f>IF(Hypothèses!$B$17=0,0,E14/E4/Hypothèses!$B$17)</f>
        <v/>
      </c>
      <c r="F43" s="53">
        <f>IF(Hypothèses!$B$17=0,0,F14/F4/Hypothèses!$B$17)</f>
        <v/>
      </c>
    </row>
    <row r="44" ht="15" customHeight="1" s="30">
      <c r="A44" s="38" t="n"/>
      <c r="B44" s="38" t="n"/>
      <c r="C44" s="38" t="n"/>
      <c r="D44" s="38" t="n"/>
      <c r="E44" s="38" t="n"/>
      <c r="F44" s="38" t="n"/>
    </row>
    <row r="45" ht="15" customHeight="1" s="30">
      <c r="A45" s="32" t="inlineStr">
        <is>
          <t>Lecture : chaque colonne est un palier atteint, en régime stable. Les coûts fixes par palier sont des choix d'organisation (équipe, support) ; les faire varier dans l'onglet Hypothèses déplace immédiatement le seuil de rentabilité.</t>
        </is>
      </c>
      <c r="B45" s="38" t="n"/>
      <c r="C45" s="38" t="n"/>
      <c r="D45" s="38" t="n"/>
      <c r="E45" s="38" t="n"/>
      <c r="F45" s="3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2026-10-29T15:18:42Z</dcterms:created>
  <dcterms:modified xmlns:dcterms="http://purl.org/dc/terms/" xmlns:xsi="http://www.w3.org/2001/XMLSchema-instance" xsi:type="dcterms:W3CDTF">2026-10-30T07:42:30Z</dcterms:modified>
  <cp:revision>0</cp:revision>
</cp:coreProperties>
</file>